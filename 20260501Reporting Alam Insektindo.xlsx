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alamaicom-my.sharepoint.com/personal/alam_insektindo_pt_alam-ai_com/Documents/002 Marketing/2025/Daftar List/MOM 2026/"/>
    </mc:Choice>
  </mc:AlternateContent>
  <xr:revisionPtr revIDLastSave="69" documentId="8_{0B4C48A2-D79B-4D93-B7F7-18FB24C5012A}" xr6:coauthVersionLast="47" xr6:coauthVersionMax="47" xr10:uidLastSave="{56B30D95-A292-4F0D-BEE7-272E1DCD8819}"/>
  <bookViews>
    <workbookView xWindow="20" yWindow="20" windowWidth="19180" windowHeight="11980" activeTab="1" xr2:uid="{00000000-000D-0000-FFFF-FFFF00000000}"/>
  </bookViews>
  <sheets>
    <sheet name="Prospek 2026" sheetId="16" r:id="rId1"/>
    <sheet name="Prospek 2025" sheetId="15" r:id="rId2"/>
    <sheet name="Progress 2024" sheetId="14" state="hidden" r:id="rId3"/>
    <sheet name="Progress 2023" sheetId="13" state="hidden" r:id="rId4"/>
    <sheet name="Progress 2022" sheetId="12" state="hidden" r:id="rId5"/>
    <sheet name="Progres 2021" sheetId="11" state="hidden" r:id="rId6"/>
    <sheet name="Progress 2020" sheetId="1" state="hidden" r:id="rId7"/>
    <sheet name="Next Project" sheetId="2" state="hidden" r:id="rId8"/>
    <sheet name="Loss" sheetId="5" r:id="rId9"/>
    <sheet name="LATEST LOSS" sheetId="17" r:id="rId10"/>
    <sheet name="Done 2019 - 2025" sheetId="3" r:id="rId11"/>
    <sheet name="Sheet2" sheetId="8" state="hidden" r:id="rId12"/>
    <sheet name="SKYPE" sheetId="4" state="hidden" r:id="rId13"/>
  </sheets>
  <definedNames>
    <definedName name="_xlnm._FilterDatabase" localSheetId="9" hidden="1">'LATEST LOSS'!$A$1:$O$123</definedName>
    <definedName name="_xlnm._FilterDatabase" localSheetId="8" hidden="1">Loss!$A$4:$N$83</definedName>
    <definedName name="_xlnm._FilterDatabase" localSheetId="5" hidden="1">'Progres 2021'!$A$2:$N$22</definedName>
    <definedName name="_xlnm._FilterDatabase" localSheetId="6" hidden="1">'Progress 2020'!$A$2:$K$8</definedName>
    <definedName name="_xlnm._FilterDatabase" localSheetId="1" hidden="1">'Prospek 2025'!$A$1:$O$69</definedName>
    <definedName name="_xlnm.Print_Area" localSheetId="10">'Done 2019 - 2025'!$A$1:$J$53</definedName>
    <definedName name="_xlnm.Print_Area" localSheetId="8">Loss!$A$1:$I$23</definedName>
    <definedName name="_xlnm.Print_Area" localSheetId="7">'Next Project'!$B$2:$J$28</definedName>
    <definedName name="_xlnm.Print_Area" localSheetId="5">'Progres 2021'!$A$1:$N$22</definedName>
    <definedName name="_xlnm.Print_Area" localSheetId="6">'Progress 2020'!$A$1:$L$20</definedName>
    <definedName name="_xlnm.Print_Area" localSheetId="1">'Prospek 2025'!$A$5:$F$69</definedName>
    <definedName name="_xlnm.Print_Area" localSheetId="0">'Prospek 2026'!$A$2:$C$48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15" l="1"/>
  <c r="C129" i="17"/>
  <c r="K128" i="17"/>
  <c r="A128" i="17"/>
  <c r="C2" i="17" l="1"/>
  <c r="C38" i="17"/>
  <c r="C57" i="17"/>
  <c r="C58" i="17"/>
  <c r="C59" i="17"/>
  <c r="C62" i="17"/>
  <c r="C77" i="17"/>
  <c r="C79" i="17"/>
  <c r="C84" i="17"/>
  <c r="C85" i="17"/>
  <c r="A87" i="17"/>
  <c r="A88" i="17"/>
  <c r="A89" i="17"/>
  <c r="A90" i="17"/>
  <c r="A91" i="17" s="1"/>
  <c r="A92" i="17"/>
  <c r="A93" i="17"/>
  <c r="A94" i="17"/>
  <c r="A95" i="17"/>
  <c r="A96" i="17"/>
  <c r="C98" i="17"/>
  <c r="C48" i="16"/>
  <c r="C1" i="16" l="1"/>
  <c r="C41" i="15"/>
  <c r="C356" i="5"/>
  <c r="A186" i="3"/>
  <c r="A352" i="5"/>
  <c r="C343" i="5"/>
  <c r="C342" i="5"/>
  <c r="C337" i="5"/>
  <c r="C335" i="5"/>
  <c r="C32" i="15"/>
  <c r="A345" i="5" l="1"/>
  <c r="A353" i="5" s="1"/>
  <c r="D5" i="15"/>
  <c r="C5" i="15" s="1"/>
  <c r="A346" i="5" l="1"/>
  <c r="C320" i="5"/>
  <c r="C7" i="15"/>
  <c r="A351" i="5" l="1"/>
  <c r="A347" i="5"/>
  <c r="C6" i="15"/>
  <c r="C316" i="5"/>
  <c r="C317" i="5"/>
  <c r="C25" i="15"/>
  <c r="C315" i="5"/>
  <c r="A354" i="5" l="1"/>
  <c r="A348" i="5"/>
  <c r="A349" i="5" s="1"/>
  <c r="C24" i="15"/>
  <c r="C23" i="15"/>
  <c r="C4" i="15"/>
  <c r="C296" i="5"/>
  <c r="C1" i="14"/>
  <c r="C260" i="5"/>
  <c r="C229" i="5"/>
  <c r="C230" i="5"/>
  <c r="C159" i="3"/>
  <c r="C145" i="3"/>
  <c r="C137" i="5"/>
  <c r="C135" i="5"/>
  <c r="C134" i="5"/>
  <c r="C144" i="3"/>
  <c r="C127" i="5"/>
  <c r="C30" i="13"/>
  <c r="C99" i="5"/>
  <c r="C100" i="5"/>
  <c r="C126" i="3"/>
  <c r="C19" i="13"/>
  <c r="C98" i="5"/>
  <c r="C96" i="5"/>
  <c r="C97" i="5"/>
  <c r="C1" i="15" l="1"/>
  <c r="A350" i="5"/>
  <c r="C18" i="13"/>
  <c r="C17" i="13"/>
  <c r="C78" i="5"/>
  <c r="C76" i="5"/>
  <c r="C3" i="13"/>
  <c r="C70" i="5"/>
  <c r="C57" i="5"/>
  <c r="C1" i="13" l="1"/>
  <c r="C1" i="12"/>
  <c r="C65" i="3" l="1"/>
  <c r="C2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Alam Insektindo</author>
  </authors>
  <commentList>
    <comment ref="D4" authorId="0" shapeId="0" xr:uid="{1B6C186A-1CD3-4733-A0CB-BF2E6A6545AC}">
      <text>
        <r>
          <rPr>
            <b/>
            <sz val="9"/>
            <color indexed="81"/>
            <rFont val="Tahoma"/>
            <family val="2"/>
          </rPr>
          <t>Alam Insektindo:</t>
        </r>
        <r>
          <rPr>
            <sz val="9"/>
            <color indexed="81"/>
            <rFont val="Tahoma"/>
            <family val="2"/>
          </rPr>
          <t xml:space="preserve">
</t>
        </r>
        <r>
          <rPr>
            <sz val="16"/>
            <color indexed="81"/>
            <rFont val="Tahoma"/>
            <family val="2"/>
          </rPr>
          <t>Nilai Kontrak</t>
        </r>
      </text>
    </comment>
    <comment ref="D5" authorId="0" shapeId="0" xr:uid="{3307A608-3076-4D92-A3D0-0FE492729C97}">
      <text>
        <r>
          <rPr>
            <b/>
            <sz val="9"/>
            <color indexed="81"/>
            <rFont val="Tahoma"/>
            <family val="2"/>
          </rPr>
          <t>Alam Insektindo:</t>
        </r>
        <r>
          <rPr>
            <sz val="9"/>
            <color indexed="81"/>
            <rFont val="Tahoma"/>
            <family val="2"/>
          </rPr>
          <t xml:space="preserve">
</t>
        </r>
        <r>
          <rPr>
            <sz val="16"/>
            <color indexed="81"/>
            <rFont val="Tahoma"/>
            <family val="2"/>
          </rPr>
          <t>Nilai Kontrak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Alam Insektindo</author>
  </authors>
  <commentList>
    <comment ref="D7" authorId="0" shapeId="0" xr:uid="{D4E0A10F-0477-4351-9FD5-16F106DFB7C4}">
      <text>
        <r>
          <rPr>
            <b/>
            <sz val="9"/>
            <color indexed="81"/>
            <rFont val="Tahoma"/>
            <family val="2"/>
          </rPr>
          <t>Alam Insektindo:</t>
        </r>
        <r>
          <rPr>
            <sz val="9"/>
            <color indexed="81"/>
            <rFont val="Tahoma"/>
            <family val="2"/>
          </rPr>
          <t xml:space="preserve">
</t>
        </r>
        <r>
          <rPr>
            <sz val="16"/>
            <color indexed="81"/>
            <rFont val="Tahoma"/>
            <family val="2"/>
          </rPr>
          <t>Nilai Kontrak</t>
        </r>
      </text>
    </comment>
    <comment ref="D13" authorId="0" shapeId="0" xr:uid="{8CBA7A5D-EDC7-4F57-A482-90CD9F91F88F}">
      <text>
        <r>
          <rPr>
            <b/>
            <sz val="9"/>
            <color indexed="81"/>
            <rFont val="Tahoma"/>
            <family val="2"/>
          </rPr>
          <t>Alam Insektindo:</t>
        </r>
        <r>
          <rPr>
            <sz val="9"/>
            <color indexed="81"/>
            <rFont val="Tahoma"/>
            <family val="2"/>
          </rPr>
          <t xml:space="preserve">
</t>
        </r>
        <r>
          <rPr>
            <sz val="16"/>
            <color indexed="81"/>
            <rFont val="Tahoma"/>
            <family val="2"/>
          </rPr>
          <t>Nilai Kontrak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Alam Insektindo</author>
  </authors>
  <commentList>
    <comment ref="D109" authorId="0" shapeId="0" xr:uid="{ACA44A17-A21D-474E-85F6-35F4BAF47536}">
      <text>
        <r>
          <rPr>
            <b/>
            <sz val="9"/>
            <color indexed="81"/>
            <rFont val="Tahoma"/>
            <family val="2"/>
          </rPr>
          <t>Alam Insektindo:</t>
        </r>
        <r>
          <rPr>
            <sz val="9"/>
            <color indexed="81"/>
            <rFont val="Tahoma"/>
            <family val="2"/>
          </rPr>
          <t xml:space="preserve">
</t>
        </r>
        <r>
          <rPr>
            <sz val="16"/>
            <color indexed="81"/>
            <rFont val="Tahoma"/>
            <family val="2"/>
          </rPr>
          <t>Nilai Kontrak</t>
        </r>
      </text>
    </comment>
    <comment ref="D110" authorId="0" shapeId="0" xr:uid="{69E8532C-D09F-4685-A637-CC6E8A173B7A}">
      <text>
        <r>
          <rPr>
            <b/>
            <sz val="9"/>
            <color indexed="81"/>
            <rFont val="Tahoma"/>
            <family val="2"/>
          </rPr>
          <t>Alam Insektindo:</t>
        </r>
        <r>
          <rPr>
            <sz val="9"/>
            <color indexed="81"/>
            <rFont val="Tahoma"/>
            <family val="2"/>
          </rPr>
          <t xml:space="preserve">
</t>
        </r>
        <r>
          <rPr>
            <sz val="16"/>
            <color indexed="81"/>
            <rFont val="Tahoma"/>
            <family val="2"/>
          </rPr>
          <t>Nilai Kontrak</t>
        </r>
      </text>
    </comment>
  </commentList>
</comments>
</file>

<file path=xl/sharedStrings.xml><?xml version="1.0" encoding="utf-8"?>
<sst xmlns="http://schemas.openxmlformats.org/spreadsheetml/2006/main" count="3957" uniqueCount="2289">
  <si>
    <t>Prospek 2026</t>
  </si>
  <si>
    <t>No</t>
  </si>
  <si>
    <t>Project Name</t>
  </si>
  <si>
    <t>Value
excl. PPN</t>
  </si>
  <si>
    <t>Status</t>
  </si>
  <si>
    <t>CUSTOMER</t>
  </si>
  <si>
    <t>Desc</t>
  </si>
  <si>
    <t>Factory Promise</t>
  </si>
  <si>
    <t>Remarks Kontraktor</t>
  </si>
  <si>
    <t>Remarks Principle</t>
  </si>
  <si>
    <t>Remarks AI</t>
  </si>
  <si>
    <t>INSULATOR</t>
  </si>
  <si>
    <t>Remarks</t>
  </si>
  <si>
    <t>PIC</t>
  </si>
  <si>
    <t>Keterangan</t>
  </si>
  <si>
    <t>PENGADAAN DAN PEMASANGAN INFRASTRUKTUR SISTEM PENGAMANAN DI WILAYAH UPT SEMARANG</t>
  </si>
  <si>
    <t>bidbiond pertama 8 jan - 6 jun ke-2 7 jun - 3 nov ke-3 3 nov - 2 april</t>
  </si>
  <si>
    <t>Penggantian Earthwire SUTET 500kV Kembangan - Gandul Menjadi OPGW</t>
  </si>
  <si>
    <t>Penggantian Trafo ke 2 GI Cepu, dan Trafo ke 2 GI blora</t>
  </si>
  <si>
    <t>Terder Terbatas, 540 Hari Kerja, okt 2027</t>
  </si>
  <si>
    <t>Perkuatan Sistem Proteksi Petir di Wilayah UPT Semarang</t>
  </si>
  <si>
    <t>Terder Terbatas, 260 Hari Kerja, okt 2026</t>
  </si>
  <si>
    <t>Penggantian Earthwire Korosif di Wilayah UPT Semarang</t>
  </si>
  <si>
    <t>Tender Terbatas, 365 Hari Kerja, Maret 2027</t>
  </si>
  <si>
    <t>Pengadaan dan Pemasangan V Insulator Akibat Andongan Rendah</t>
  </si>
  <si>
    <t>Tender Terbatas, 540 Hari Kerja, Sep 2027</t>
  </si>
  <si>
    <t>Pengadaan dan Penggantian Sistem Proteksi di Wilayah UPT Semarang</t>
  </si>
  <si>
    <t>Penanganan Anomali Midspan Joint Tersebar di Wilayah UPT Semarang</t>
  </si>
  <si>
    <t>Tender Terbatas, 365 Hari Kerja, April 2027</t>
  </si>
  <si>
    <t xml:space="preserve">Penggantian CDE Tj Jati - Sayung </t>
  </si>
  <si>
    <t>Terder Terbatas, 365 Hari Kerja, April 2027</t>
  </si>
  <si>
    <t xml:space="preserve">Penggantian Kabel Power dan Sealing End di GIS 150 kV Tambaklorok </t>
  </si>
  <si>
    <t>Pengadaan Material OLTC GITET 500 kV Ungaran</t>
  </si>
  <si>
    <t>Pengadaan Material Bushing 70kV</t>
  </si>
  <si>
    <t>PL</t>
  </si>
  <si>
    <t>Pengadaan Thermovisi</t>
  </si>
  <si>
    <t>Terder Terbuka, 365 Hari Kerja, April 2027</t>
  </si>
  <si>
    <t>Pengadaan Alat Uji Kadar Air dan PDKB</t>
  </si>
  <si>
    <t>Terder Terbuka, 365 Hari Kerja, Mei 2027</t>
  </si>
  <si>
    <t>Pengadaan Genset</t>
  </si>
  <si>
    <t>Pembangunan Sarana Pengaman di UPT Semarang</t>
  </si>
  <si>
    <t>Terder Terbuka, 240 Hari Kerja, Jan 2027</t>
  </si>
  <si>
    <t>Penggantian Earthwire SUTET 500kV Mandirancan - New Ujung Berung dan Tasikmalaya dan Bandung Selatan 40 Span</t>
  </si>
  <si>
    <t>Penggantian GSW T.185 - T.255 70 span Mandirancan - Bandung Selatan</t>
  </si>
  <si>
    <t>Penggantian Earthwire 150kV Jatibarang - Cikedung - Haur Geulis 163 Span</t>
  </si>
  <si>
    <t>Penggantian Earthwire Switchyard 150kV GI Mandirancan 1 Lot</t>
  </si>
  <si>
    <t>Penggantian Insulator SUTT 70kV Arjawinangun - Semen 21 Span</t>
  </si>
  <si>
    <t>Penggantian String Set dan Insulator Tower 150kV Darajat - Garut 66 Span</t>
  </si>
  <si>
    <t>Penggantian String Set dan Insulator Tower 150kV Kamojang - Darajat 35 Span</t>
  </si>
  <si>
    <t>Penggantian String Set dan Insulator Tower 150kV New Arja Winangun - Jati Barang 84 Span</t>
  </si>
  <si>
    <t>Penggantian String Set dan Insulator Tower 150kV Jati Barang - Arja Winangun 79 Span</t>
  </si>
  <si>
    <t>Penggantian String Set dan Insulator Tower 150kV Sunyaragi - Babakan 96 Span</t>
  </si>
  <si>
    <t>Perkuatan Sistem Proteksi Petir di Wilayah UPT Cirebon 393 Tower</t>
  </si>
  <si>
    <t>Tender Terbuka, 240 Hari Kerja, Sep 2026</t>
  </si>
  <si>
    <t xml:space="preserve">Penggantian Aksesoris Trafo tahun 2026 </t>
  </si>
  <si>
    <t>Tender Terbuka, 260 Hari Kerja, Agst 2026</t>
  </si>
  <si>
    <t xml:space="preserve">Pengadaan dan Penggantian Kubikel Incoming </t>
  </si>
  <si>
    <t>Tender Terbuka, 365 Hari Kerja, Maret 2026</t>
  </si>
  <si>
    <t>Pengadaan dan Penggantian Kabel Power Trafo 2 dan 3 GI Pameungpeuk 2 unit</t>
  </si>
  <si>
    <t>Tender Terbuka, 270 Hari Kerja, Nov 2026</t>
  </si>
  <si>
    <t xml:space="preserve">Pengadaan dan Penggantian Panel Kontrol dan Proteksi GI Banjar </t>
  </si>
  <si>
    <t>Tender Terbuka, 365 Hari Kerja, Jan 2027</t>
  </si>
  <si>
    <t>Pengadaan dan Penggantian Sistem Proteksi</t>
  </si>
  <si>
    <t>Tender Terbuka, 270 Hari Kerja, Des 2026</t>
  </si>
  <si>
    <t>Pengadaan dan Penggantian Fault Locator</t>
  </si>
  <si>
    <t>Pengadaan dan Penggantian AVR &amp; PQM</t>
  </si>
  <si>
    <t>Pengadaan Material Spare NGR dan Bushing Trafo di UPT Cirebon</t>
  </si>
  <si>
    <t xml:space="preserve">Pengadaan Alat Uji dan Alat Kerja </t>
  </si>
  <si>
    <t>Pengadaan Portable Electric Crane 2 unit</t>
  </si>
  <si>
    <t xml:space="preserve">Pembuatan Pagar Precast 4 GI </t>
  </si>
  <si>
    <t>Tender Terbuka, 365 Hari Kerja, Juni 2026</t>
  </si>
  <si>
    <t>Pembuatan Gudang Terbuka Beratap Arja Winangun 465m2</t>
  </si>
  <si>
    <t>Tender Terbuka, 180 Hari Kerja, Juli 2026</t>
  </si>
  <si>
    <t>Pengurugan Batu Split Switchyard GI Sunyaragi dan GI Malangbong</t>
  </si>
  <si>
    <t>Penggantian dan Pemasangan Distance Relay menjadi Current Differensial Relay</t>
  </si>
  <si>
    <t xml:space="preserve">Penggantian Bushing Trafo 500kV </t>
  </si>
  <si>
    <t>Grounding UPT Bogor</t>
  </si>
  <si>
    <t xml:space="preserve">Terder Terbuka </t>
  </si>
  <si>
    <t> PENGADAAN BARANG DAN JASA KONSTRUKSI SUTT 150 KV PEMECUTAN KELOD -TX. PESANGGARAN -TX. BANDARA / NUSA DUA  (SECTION SUTT 150 KV TX. PESANGGARAN - NUSA DUA 1 -2</t>
  </si>
  <si>
    <t>KSO PT. JAMPA INDOTAMA - PT. ALHAS JAYA GROUP</t>
  </si>
  <si>
    <t>PENGADAAN BARANG DAN JASA KONSTRUKSI SUTT 150KV PEMECUTAN KELOD - TX. PENSANGGARAN - TX. BANDARA / NUSA DUA (SECTION SUTT 150KV PEMECUTAN KELOD (TX. PESANGGARAN) - TX. BANDARA DAN SUTT 150 KV PESANGGARAN - TX. BANDARA)</t>
  </si>
  <si>
    <t>PT GRIDTECH INDONESIA</t>
  </si>
  <si>
    <t>Prospek 2025</t>
  </si>
  <si>
    <t>Pengadaan Isolator Tersebar di UPK Bangka Belitung</t>
  </si>
  <si>
    <t>Indodaya Naratama Abadi</t>
  </si>
  <si>
    <t>PEKERJAAN PEMBANGUNAN GITET 275/150 KV WOTU EXTENSION</t>
  </si>
  <si>
    <t>Kelinci Mas Unggul</t>
  </si>
  <si>
    <t>PEMBANGUNAN TRANSMISI 150 KV PAKNING- SIAK: LOT 1&amp;2</t>
  </si>
  <si>
    <t>Sumatra
BAP Percie, NPC, Multifab,Citramas, Bukaka dan Twink</t>
  </si>
  <si>
    <t>Sapta Guna Utama PT, Berca Buana Sakti PT</t>
  </si>
  <si>
    <t>penjelasan 3 Agustus 2023, closing 13 September 2023</t>
  </si>
  <si>
    <t>Marul</t>
  </si>
  <si>
    <t>PEMBANGUNAN TRANSMISI 150 KV TANAH GROGOT - SEI DURIAN LOT: 1&amp;2</t>
  </si>
  <si>
    <t>Kalimantan
BAP NPC,citramas (tdk ikut), Citicon, WST, Twink, Citac, Tinakana</t>
  </si>
  <si>
    <t>Distraco, PT, PT. Citicon Adhinugraha</t>
  </si>
  <si>
    <t>penjelasan 2 Agustus 2023, closing 14 September 2023</t>
  </si>
  <si>
    <t>Laely</t>
  </si>
  <si>
    <t>PEMBANGUNAN TRANSMISI 150 KV  SEI DURIAN  - TARJUN LOT: 1&amp;2</t>
  </si>
  <si>
    <t>BAP Distraco, Citicon, Bukaka, Multifab, Sangkan</t>
  </si>
  <si>
    <t>PT. Nusantara Power Construction, PT. Citicon Adhinugraha</t>
  </si>
  <si>
    <t>UPRATING TRAFO 1 GI 150 KV BUMI SEMARANG BARU</t>
  </si>
  <si>
    <t>1. 9.672.721.037,00 (HPS), 
2. tgl kontrak 21 Oktober 2024
semua material percepatan sdh clear, material yg lain di PO tgl 30 des kecuali MK, GS, CCTV, menunggu approval dwg dan WP,</t>
  </si>
  <si>
    <t>KSO KSCM - INA</t>
  </si>
  <si>
    <t>garansi material: 
ERI sdh ada namun scan aslinya ngambil di cikarang (x), 
Enindo blm ada (x), 
KMI baru cek draft (x), 
Putra nata asli (v), 
amptron asli (v)
GTS Panel (x)</t>
  </si>
  <si>
    <t>UPRATING GI 150 KV BANYUDONO BAY JAJAR 1,2 DAN GI 150 KV JAJAR BAY BANYUDONO 1,2</t>
  </si>
  <si>
    <t>PT. Buanareksa Binaperkasa</t>
  </si>
  <si>
    <t>stringset dan PI sdh diambil 25/08, insulator zibo sdh diambil 12 nov, Transfer lunas 22 sept, menunggu COO,COM minta ke PLP untuk insulator ABI</t>
  </si>
  <si>
    <t>PENGADAAN DAN PENGGANTIAN ISOLATOR DI UIT JBM</t>
  </si>
  <si>
    <t>Menunggu harga  ACCC dari PLP berikut diskon finalnya</t>
  </si>
  <si>
    <t>PT KENCANA ALAM PUTRA</t>
  </si>
  <si>
    <t>REVITALISASI GIS DI UNIT INDUK TRANSMISI JAWA BAGIAN TIMUR DAN BALI (OVERHAUL GIS SAWAHAN</t>
  </si>
  <si>
    <t>PT. High Volt Technology</t>
  </si>
  <si>
    <t xml:space="preserve">pinjam MASATEK note di isian kualifikasi minta situlis subcon indodaya </t>
  </si>
  <si>
    <t>PT. Indodaya Naratama Abadi</t>
  </si>
  <si>
    <t xml:space="preserve">UPRATING 2 DIAMETER DI GISTET SURALAYA ARAH CILEGON </t>
  </si>
  <si>
    <t>KSO PT. Kencana Alam Putra - Enindo Orbitama</t>
  </si>
  <si>
    <t>PROJEK SURALAYA PENGGANTIAN TENSION DEAD END</t>
  </si>
  <si>
    <t xml:space="preserve">PENGADAAN STRINGSET PROJECT WK ROKAN PAKET -A </t>
  </si>
  <si>
    <t>PT. PLN Nusantara Power Construction</t>
  </si>
  <si>
    <t>PENGADAAN INSULATOR PROJECT WK ROKAN PAKET -A</t>
  </si>
  <si>
    <t>PENGGANTIAN TRAFO #3 150/20 KV 60 MVA GI CENGKARENG DALAM RANGKA PENGGANTIAN TRAFO KONDISI BURUK DI UPT DURIKOSAMBI</t>
  </si>
  <si>
    <t>PT Indevco Global</t>
  </si>
  <si>
    <t>PENGGANTIAN CT 500 KV P0  DI WILAYAH UPT BEKASI</t>
  </si>
  <si>
    <t>Duta Cakrawala indonesia, PT</t>
  </si>
  <si>
    <t>PEKERJAAN PEMBANGUNAN GI 150 KV SEBUKU NEW 30 MVA</t>
  </si>
  <si>
    <t xml:space="preserve">PT PLN NUSANTARA POWER CONSTRUCTION, </t>
  </si>
  <si>
    <t>PENYELESAIAN PENDING ITEM GI DAN TRANSMISI DALAM RANGKA STOP/STAP/STP PROYEK WILAYAH UPP JBT 4</t>
  </si>
  <si>
    <t>PT, Pas Jaya Mandiri</t>
  </si>
  <si>
    <t>Closing 25 Mei, PJM sdh menang, (Section 1 Amsak), (Section 2 Multifab), (Section 3 Citacontract), kontrak akhir menunggu update harga PLP,sdh approved  sdng disiapkan kebuuthan materialnya apa saja UIP FU terakhir 01/12 ke pak Albert Markus menunggu BOQ dari PLN</t>
  </si>
  <si>
    <t>PEMBANGUNAN GI 150 KV KTT INDORAMA BESERTA SUTT 150 KV KTT INDORAMA – INC (PADALARANG – JATILUHUR)</t>
  </si>
  <si>
    <t>PT. MULTI FABRINDO GEMILANG</t>
  </si>
  <si>
    <t>PENGADAAN DAN PEMASANGAN MTU PO DI UIT JBB LINGKUP JASA PEMASANGAN MTU PO DI UPT CIKUPA</t>
  </si>
  <si>
    <t>PT. Garda Perdana Security</t>
  </si>
  <si>
    <t>PEMBANGUNAN TRANSMISI 150 KV CIKUPA NEW - INC.  (TERMASUK 2 TOWER TX JATAKE - JATAKE) (PENGADAAN ULANG)</t>
  </si>
  <si>
    <t>KSO SAJ TKAD</t>
  </si>
  <si>
    <t>TENDER ULANG PEKERJAAN PEMBANGUNAN EXTENSION 1 TRAFO BAY+TRAFO 30MVA GARDU INDUK 150KV SATUI</t>
  </si>
  <si>
    <t xml:space="preserve">PT Citra Bakti Persada </t>
  </si>
  <si>
    <t>PENGADAAN DAN PENGGANTIAN BUSHING P0 FASA R BAY 150/20 KV TRAFO#2 GI GANDAMEKAR DAN FASA S BAY 150/20 KV TRAFO#3 GI JABABEKA</t>
  </si>
  <si>
    <t>PT. ENINDO ORBITAMA</t>
  </si>
  <si>
    <t>masih proses approval dan masih proses produksi bushing, masih menunggu hasil survei, tgl 27 info dari user menunggu kedatangan barang, kemungkinan awal tahun 2026</t>
  </si>
  <si>
    <t>PENGADAAN DAN PENGGANTIAN BUSHING TERSEBAR DI WILAYAH UPT BANDUNG</t>
  </si>
  <si>
    <t>masih proses approval estimasi sept - okt datangnya material bushing, tgl 27 info dari user menunggu kedatangan barang kemungkinan awal tahun 2026</t>
  </si>
  <si>
    <t>PEMBANGUNAN TRANSMISI 150 KV TUBAN – PACIRAN SEKSI 1 &amp; 2</t>
  </si>
  <si>
    <t>Seksi 1 Sangkan, Multifab, Indisi, WST, 
Seksi 2 Sangkan, HKP, Hasta Praja</t>
  </si>
  <si>
    <t>PT. Nusantara Power Construction, Indisi</t>
  </si>
  <si>
    <t xml:space="preserve">GITET BALARAJA </t>
  </si>
  <si>
    <t>masih proses approval dan masih proses produksi bushing, menunggu GIS sekitar 8 bulan lagi kemungkinan awal tahun 2026</t>
  </si>
  <si>
    <t>PENGADAAN PEKERJAAN PEMBANGUNAN BAY COUPLER GARDU INDUK PARINGIN</t>
  </si>
  <si>
    <t>PT. ENERGI ENTELEMI INDONESIA</t>
  </si>
  <si>
    <t>menang, verifikasi kontrak, sedang direview tim purchasing dan project untuk list supplier dan vendor penawaran harga sesuai kebutuhan kontraktor sdh dikirim dan direview oleh kontraktor, FU 05/01 pak Alvin minta waktu ketemu</t>
  </si>
  <si>
    <t>PENGADAAN DAN PENGGANTIAN SEALING END GIS 150 KV UPT CAWANG TAHAP 2</t>
  </si>
  <si>
    <t>PT. SANTOSA ASIH JAYA</t>
  </si>
  <si>
    <t>PENGGANTIAN SKTT 150 KV PEGANGSAAN – WAHANA</t>
  </si>
  <si>
    <t>PENGGANTIAN MTU P0 WILAYAH UPT PURWOKERTO TAHUN 2025</t>
  </si>
  <si>
    <t>PT. GARDA PERDANA SECURITY</t>
  </si>
  <si>
    <t>JASA PENGGANTIAN MTU BOTTLENECK DI UPT GANDUL</t>
  </si>
  <si>
    <t xml:space="preserve">PT SIMBARHOL TEKNIK PERKASA </t>
  </si>
  <si>
    <t>PENGADAAN MATERIAL CADANG TRANSMISI</t>
  </si>
  <si>
    <t>PT. Alam Insektindo</t>
  </si>
  <si>
    <t>EPC Poigar-2 HEPP Contactor BIDDING (2x15MW) / Pelelengan Kontraktor EPC PLTA Poigar-2 (2x15MW)</t>
  </si>
  <si>
    <t>karena harga satuan</t>
  </si>
  <si>
    <t>PT Berca Buana Sakti</t>
  </si>
  <si>
    <t>closing 19/09 sdh dikirim ke BBS harganya,  Pak Marul FU 18/08, tender EPC kontrak 6 bulan - 1 tahun</t>
  </si>
  <si>
    <t>PENGADAAN DAN PENGGANTIAN TRAFO KONDISI BURUK WILAYAH TIMUR UITJBB LINGKUP JASA PENGGANTIAN TRAFO KONDISI BURUK DI GI CITRA HABITAT</t>
  </si>
  <si>
    <t>PT DUTA CAKRAWALA INDONESIA</t>
  </si>
  <si>
    <t>menang sdh ttd kontrak, nabil FU ke pak Veri dan pak Abroham 01/12, pak Abroham tanya ke pak Veri tapi belum ada approval masih dalam tahap survey</t>
  </si>
  <si>
    <t>PENGADAAN DAN PENGGANTIAN POLA PROTEKSI TERSIER IBT DI UPT MALANG</t>
  </si>
  <si>
    <t>PT PAS Jaya Mandiri</t>
  </si>
  <si>
    <t>STRINGSET PURUK CAHU SECTION 1</t>
  </si>
  <si>
    <t xml:space="preserve"> KSO KE AMSAK</t>
  </si>
  <si>
    <t>kontrak PLN Kalbar, sdh penawaran harga ke kontraktor, Marul FU ke Pak Anrizal</t>
  </si>
  <si>
    <t>Insulator GIG Puruk Cahu Sec 1</t>
  </si>
  <si>
    <t>sudah dengan pengiriman</t>
  </si>
  <si>
    <t>kontrak PLN Kalbar, Marul FU ke Pak Anrizal</t>
  </si>
  <si>
    <t>Relokasi Tower Cibatu</t>
  </si>
  <si>
    <t>PT. Jaring Rainan Hutama</t>
  </si>
  <si>
    <t>Relokasi Tower Jonggol</t>
  </si>
  <si>
    <t>CMS</t>
  </si>
  <si>
    <t xml:space="preserve">BUKIT INDAH TL 150 KV </t>
  </si>
  <si>
    <t>PT. Nusantara Power Construction</t>
  </si>
  <si>
    <t>sudah pemasukan pembukaan sampul internal dari EPC swasta kemungkinan Februari 2026,</t>
  </si>
  <si>
    <t>PEKERJAAN PENGADAAN DAN PEMASANGAN EXTENSION BAY TRAFO 4 DI GI 150 KV KUDUS</t>
  </si>
  <si>
    <t>PT. AMSAK BANGUN PERSADA,</t>
  </si>
  <si>
    <t>PEKERJAAN PEMBANGUNAN EXTENSION IBT 275/150 KV GITET TENTENA 2 X 250 MVA</t>
  </si>
  <si>
    <t>PT PLN NUSANTARA POWER CONSTRUCTION</t>
  </si>
  <si>
    <t>Menunggu penawaran PLP</t>
  </si>
  <si>
    <t>PEMBANGUNAN EXT 1 TR BAY TRAFO KE 4 150/20 KV 60 MVA GI MODERN LINGKUP JASA PEMASANGAN</t>
  </si>
  <si>
    <t>PT. Duta Cakrawala Indonesia</t>
  </si>
  <si>
    <t>PEMBANGUNAN BAY TRAFO 3x60 MVA</t>
  </si>
  <si>
    <t>KSO PT. AHZA JAYA MULIA,</t>
  </si>
  <si>
    <t>PEMBANGUNAN SKTT 150 KV BUDI KEMULIAAN – KEBON SIRIH</t>
  </si>
  <si>
    <t>PEKERJAAN GARDU INDUK 150 KV DI SULAWESI</t>
  </si>
  <si>
    <t>PENGADAAN DAN PENGGANTIAN BUSHING PRIMER PHASA S BAY TRAFO#4 150/20 KV GI JABABEKA</t>
  </si>
  <si>
    <t>Closing 22/10/2025, info dari pak ivan sedang ditanyakan ke tim tender, minta waktu untuk ketemu januari</t>
  </si>
  <si>
    <t>PEKERJAAN PEMBANGUNAN SKTT 150 KV GIS KOTA PADANG – SINGLE PHI (LUBUK ALUNG – PAUH LIMO)</t>
  </si>
  <si>
    <t>Closing 26/11/2025, evaluasi sampul 1</t>
  </si>
  <si>
    <t>PEMASANGAN EXTENSION IBT-2 GI 150/70 KV GI 150 KV NEW PONOROGO 100 MVA</t>
  </si>
  <si>
    <t>PT. GLOBAL TWINSTAR</t>
  </si>
  <si>
    <t>PENGGANTIAN AIR BUSHING DI WILAYAH UITJBB</t>
  </si>
  <si>
    <t>PT. ENINDO ORBITAMA,</t>
  </si>
  <si>
    <t>Closing 22/10/2025, menunggu kedatangan barang kemungkinan awal tahun 2027</t>
  </si>
  <si>
    <t>PENGGANTIAN AIR BUSHING GISTET KEMBANGAN DAN CAWANG BARU</t>
  </si>
  <si>
    <t>Closing 22/10/2025, menang, menunggu kedatangan barang kemungkinan awal tahun 2027</t>
  </si>
  <si>
    <t>PEKERJAAN PEMBANGUNAN SKTT 150 KV TX 1 – TX 2 TANJUNG API API</t>
  </si>
  <si>
    <t>RELOKASI JALUR SUTT 150 KV KEBAN AGUNG – LAHAT, BUKIT ASAM – LAHAT DAN PENDOPO – LAHAT</t>
  </si>
  <si>
    <t>PT. TWINK INDONESIA</t>
  </si>
  <si>
    <t>PENAMBAHAN TOP GROUNDING (MDG)</t>
  </si>
  <si>
    <t>PT. Cahaya Karya Bersama</t>
  </si>
  <si>
    <t>Closing 07/11/2025</t>
  </si>
  <si>
    <t>PEKERJAAN PEMBANGUNAN SUTT 150 KV DUMAI – LUBUK GAUNG</t>
  </si>
  <si>
    <t>PT. Sapta Guna Utama, KSO PT. DALIMA PUTRA PERDANA – PT. BINA NOVITA, PT. TWINK INDONESIA</t>
  </si>
  <si>
    <t>PEMBANGUNAN SKTT 150 KV KEDINDING – TX UJUNG, KEDINDING – TX KENJERAN DAN KEDINDING – TX BANGKALAN</t>
  </si>
  <si>
    <t>PEMBANGUNAN TRANSMISI 150 KV KEK KENDAL – INC. (KALIWUNGU – WELERI)</t>
  </si>
  <si>
    <t>PT. Berca Buana Sakti</t>
  </si>
  <si>
    <t>PEMBANGUNAN SKTT 150kV TAMBUN II – TX PONCOL BARU II</t>
  </si>
  <si>
    <t>Closing 27 November, evaluasi sampul 1</t>
  </si>
  <si>
    <t>ENGINEERING PROCUREMENT &amp; CONSTRUCTION 150 KV AIS SUBSTATION &amp; TRANSMISSION LINE</t>
  </si>
  <si>
    <t>PT. Indokomas Buana Perkasa, Percie, HKP</t>
  </si>
  <si>
    <t>PEKERJAAN PEMBANGUNAN GARDU INDUK 150 KV MATARAM EXT (2LB) &amp; GARDU INDUK 150 KV MANTANG EXT (2LB)</t>
  </si>
  <si>
    <t>PT. Indokomas Buana Perkasa</t>
  </si>
  <si>
    <t>PEMASANGAN EXTENSION TRAFO 5 GI 150 KV NGORO 60 MVA</t>
  </si>
  <si>
    <t>KSO Masatek</t>
  </si>
  <si>
    <t>PEMASANGAN EXTENSION BAY TRAFO KE-5 GI 150 KV SEKARPUTIH 60  MVA</t>
  </si>
  <si>
    <t>PEKERJAAN GI 150 kV PAYAPASIR EXT TRAFO (1x60) MVA</t>
  </si>
  <si>
    <t xml:space="preserve">PT WISMA SARANA TEKNIK </t>
  </si>
  <si>
    <t>PEKERJAAN GI 150 kV KIM EXT TRAFO (1x60) MVA</t>
  </si>
  <si>
    <t>Progres 2024</t>
  </si>
  <si>
    <t>Perbaikan Anomali Jaringan di UPT Bandung</t>
  </si>
  <si>
    <t>Sudah PO</t>
  </si>
  <si>
    <t>sisa</t>
  </si>
  <si>
    <t>PT. Cipta Daya Utama</t>
  </si>
  <si>
    <t>cicilan pertama 7 Desember 25.000.000, sisa utang 344 Jt, cicilan kedua Januari 2025 sebesar 50 jt, sisa 214 jt, CDU akan bayar setiap tgl 25 sebesar 50jt, 28 Feb 30 jt, 28 mei bayar 50 jt sisa 164jt, janji bayar 27 Juni, 30 juni bayar 30jt sisa 134 jt,  info dari Pak Sudaryo, bulan ini akan melakukan pelunasan ke PT Alam di minggu ke 4. Untuk tanggal pasti pembayarannya belum ada update terbaru lagi, 04/08 dibayar 54 jt sisa 80 jt, sisa 49.999.982, terakhir bayar 29 Agustus 30.817.597</t>
  </si>
  <si>
    <t>JASA PENGGANTIAN KAWAT GSW BERIKUT STRINGSETNYA PADA SUTET 500 KV BANDUNG SELATAN - NEW UJUNG BERUNG T.34-80, SUTT 150 KV PADALARANG BARU - CIRATA T.01-T.26, DAN BANDUNG SELATAN - KIARACONDONG T.50-T.62</t>
  </si>
  <si>
    <t>1.931.400.000 (Nilai Kontrak)
sdh dicicil 50jt sisa 289.839.820 mega sudah mengajukan VIP sejak tgl 14 Feb</t>
  </si>
  <si>
    <t>amandemen s/d 2 January 530 hari sdng pengajukan perpanjangan 90 hari s/d 2 april 25 mulai kerja feb sdh dicicil 50jt, yg blm pdlrng - cirata T12 -22 Bansel - Uber T.34 - 50 akan di kerjakan feb, ada jadwal padam lagi 11-12 Jan pdlng baru - cirata line 1 18-19 jan bansel-new uber, minta dicicil</t>
  </si>
  <si>
    <t>KSO Mega Alfarizki - Indodaya Naratama  Abadi</t>
  </si>
  <si>
    <t>BAST sudah dikirim dibulan Januari
Pengajuan restitusi di bulan april estimasi 3 - 4 bulan sampai dengan agustus. Sudah FU bulan Juni, masih on process. Akan di FU kembali ke MA pada bulan Juli, masih restetusi 32jt (perkiraan agust), belum cair FU Bu diyah tgl 4/08</t>
  </si>
  <si>
    <t>Kontrak 23 Juni 2023 masa berlaku kontrak 365 hari, pekerjaan dimulai 27-28 January dan 3-4 Feb 2024 ada kendala GSW putus di tower 50 (Bandung Selatan - New Uber), 22 Jan pekerjaan unclamping dari tower 34 - 62 (ada 4 tim), dan 22 jan haspel dan repair sleeve proses , Pemadaman 22 April - 25 April dan 29 April - 2 Mei 2024 T. 58-62, renc. tgl 22 pekerjaan di T. 58, 50, 51, 55 unclamping, tgl 11-12 T.12-T. 21 terakhirnya 18-19 Mei T. 24 - 26, rencana padam ganti GSW T. 1 - T. 22 PDRU Cirata Line1 22-23 juni line 2 T.1-T.22 29-30 Juni T.24-T.26 Cirata Line 6 Juli Line T.24-T.26 7 Juli, pasar steger pdlrng - cirata T.1-T.22, sdng proses pek. T.72-80 new Uber,06/02/2025 final quantity, BAST sudah Januari</t>
  </si>
  <si>
    <t>Retender GSW 500 KV UPT Bogor</t>
  </si>
  <si>
    <t>Saguling - cibinong T.21&amp;22 - T.38, T.111 - 139 sdh selesai blm ada jadwal lagi, update terakhir pekerjaan 75%</t>
  </si>
  <si>
    <t>Konsosium Mega Alfarizki - Indodaya Naratama Abadi,PT</t>
  </si>
  <si>
    <t>Closing tgl 23  Agustus 2023</t>
  </si>
  <si>
    <t>menunggu jadwal padam jalur Cilegon. Penagihan mega sudah termin 2 dari mega pengen minta perhitungan PPH dan fee admin seperti perhitungan project bandung, sdh bayar 200jt tgl 5 Juni. FU tanggal 14 koordinasi dlu ke bagian finance, sisa termin 1 dan termin 2 sisa 269jt total tagihan PO 848jt</t>
  </si>
  <si>
    <t>kontrak tgl 25 September 2023, pelaksanaan 720 hari sejak kalender, barang sudah disite semua dan sdh pemeriksaan barang tgl 11 Jul, rencananya dit. Kapan jadwal padam 29 Jul - 16 Agus tetapi MAnya msh blm ada konfirmasi 24 Jul, ada usulan tgl 2-6 des, 9-13 des. Jalur saguling - cibinong, 18-19 dan 25-26 jan 2025 jalur cilegon - cibinong bln feb saguling cibinong 2, tgl 19 jadwal padam cibinong-saguling 8-17 des line 1, saguling cibinong 2 T134-T.152  tgl 3-7 feb, tgl 8-9 feb Cilegon-cibinong , tgl 10-14 feb saguling-cibinong 2, tgl 17-21 saguling-cibinong 2, tgl 24-28 saguling-cibinong 2</t>
  </si>
  <si>
    <t>PENGADAAN DAN JASA PENGGANTIAN KABEL 66 KV TERSIER IBT 2 GITET UNGARAN</t>
  </si>
  <si>
    <t>kontrak tgl 25 Jun - 25 Feb 2025, FAT sdh &amp; Material sdng dikirim datang sekitar 2 des dipick up masatek</t>
  </si>
  <si>
    <t>UPT Semarang</t>
  </si>
  <si>
    <t>KSO Masatek - INA, menunggu klarifikasi sampul 1</t>
  </si>
  <si>
    <t>kabel sdh datang di GI Ungaran, Jumat 1 Nov meeting dgn pak ayub membahas sipil, sealing end trimitra tdk jadi thn ini luncur ke tahun depan, masih direview BOQ Sipil kerja (+-), sealing end sdh sampai mulai kerja ditgl 9 - 31 jan, supervisi arkasil di tgl 1-12 maret, EOT Prafinal Quantity sampai sekarang pekerjaan 70%, menunggu pek. MTU dari induk estrimasi bln agustus, pak ayub : aspal sdh dikerjakan dan penambahan linkbox bobot sekitar 92%, sdh bayar termin 2 tgl 11/07 560jt tanpa PPN, termin 3 sdh dibayar tgl 27/09 543jt</t>
  </si>
  <si>
    <t>Progres 2023</t>
  </si>
  <si>
    <t>PEMBANGUNAN TOWER RELOKASI TRANSMISI AIR ANYIR - PANGKALPINANG LINTASAN SUNGAI BATU RUSA</t>
  </si>
  <si>
    <t>PT Tesla Daya Elektrika</t>
  </si>
  <si>
    <t>pekerjaan addendum sampai maret 2024, sudah PO INA ke Sicame untuk stringset, insulator tidak jadi di PO ke INA karna tidak ready stock, sudah DP 20%, menunggu update sicame</t>
  </si>
  <si>
    <t>Selasa Adel Fu kontraktor lagi</t>
  </si>
  <si>
    <t>Adel</t>
  </si>
  <si>
    <t>JASA PEMASANGAN MTU DAN PENGADAAN ALAT UJI DI WILAYAH UPT SEMARANG</t>
  </si>
  <si>
    <t>PT. Global Twin Star</t>
  </si>
  <si>
    <t>Pemenang Tender, Menunggu PO &amp; approval drawing dari kontraktor, baru ttd kontrak 20 Nov 2023, update tgl 15 info dari GTS pakai eksisting</t>
  </si>
  <si>
    <t>cicilan pertama 7 Desember 25.000.000</t>
  </si>
  <si>
    <t>Pengadaan dan Jasa Penggantian String Set serta Isolator 120 kN untuk SUTT 150kV Purbalingga - Rawalo T.94-172</t>
  </si>
  <si>
    <t>Perintis Sarana Elektrik, PT</t>
  </si>
  <si>
    <t>Pengadaan dan jasa</t>
  </si>
  <si>
    <t>Pembayaran Back to back</t>
  </si>
  <si>
    <t>Minta penawaran harga terbaru</t>
  </si>
  <si>
    <t>menunggu retensi 5%, 176.830.518, BAST 22 Mei 2023 Retensinya Mei 2024</t>
  </si>
  <si>
    <t>PO Perintis Back to Back, INA sudah DP 20% ke Sicamindo, Material siap di pick up minggu ke 3 Desember 2022 di balaraja oleh kontraktor</t>
  </si>
  <si>
    <t>Pastikan material selesai kapan.</t>
  </si>
  <si>
    <t>Kontrak 23 Juni 2023 masa berlaku kontrak 365 hari, PO pertama repair sleep sudah ready, PO ke Sicame (midspan joint as 70, vibration damper,armour rod dan shackle), jadwal pekerjaan dimulai 13-14 January dan 27-28 January (Bandung Selatan - New Uber) haspel sewa gudang sampai 12 January 2024, material 150kV masih disortir</t>
  </si>
  <si>
    <t>JASA PENGGANTIAN ISOLATOR BERIKUT STRINGSET DI T.1 S/D T.54 SUTT 70KV PURWAKARTA – KOSAMBI BARU – SOUTH PASIFIC</t>
  </si>
  <si>
    <t>UPT Karawang INA tidak bisa konsorsium dikarenakan tidak punya pengalaman</t>
  </si>
  <si>
    <t>harga diatas sudah termasuk diskon kerawang dan semarang masing" 5%</t>
  </si>
  <si>
    <t>PT MEGA ALFARIZKI</t>
  </si>
  <si>
    <t>Sudah DP 10%,  SOA 19 Jan 3 item sudah diambil tgl 11 Des GIRO 30 January 2024, sisanya 21 Des sudah diambil</t>
  </si>
  <si>
    <t>JASA PENGGANTIAN EARTH WIRE BERIKUT STRINGSETNYA PADA SUTT PANDEANLAMPER – PUDAKPAYUNG T. 14-33 DAN SUTT TAMBAKLOROK-UNGARAN T.29-45 SERTA JASA PENGGANTIAN STRINGSET TOWER SUTT TAMBAKLOROK-UNGARAN T.01-12 AKIBAT KOROSI</t>
  </si>
  <si>
    <t>DP sudah 10% SOA 8 Desember sudah diambil tgl 11 Des, GIRO 30 January 2024</t>
  </si>
  <si>
    <t>Sumatra</t>
  </si>
  <si>
    <t>Sapta Guna Utama, PT</t>
  </si>
  <si>
    <t>Aanwijzing tanggal 21 Juli 2023, Closing 15 Desember 2023</t>
  </si>
  <si>
    <t>PEMBANGUNAN TRANSMISI 150 KV SEI DURIAN - TARJUN: LOT 1&amp;2</t>
  </si>
  <si>
    <t>Kalimantan</t>
  </si>
  <si>
    <t>Distraco, PT</t>
  </si>
  <si>
    <t>17 Januari pembukaan sampul 1</t>
  </si>
  <si>
    <t>kontrak tgl 25 September 2023, pelaksanaan 720 hari sejak kalender,  asli kontrak sudah diterima jampel sudah diterima PLN sedang proses approval drawing sudah nen menunggu PO dari mega INA PO ke Sicame, euis FU 18 Des</t>
  </si>
  <si>
    <t>GI Batu Raja Stringset</t>
  </si>
  <si>
    <t>Masatek</t>
  </si>
  <si>
    <t>Penawaran harga&amp;drawing hari ini tgl 21 Agustus 2023</t>
  </si>
  <si>
    <t>revisi drawing dan harga sudah dikirim ke kontraktor FU 21 Nov 2023</t>
  </si>
  <si>
    <t>GI Batu Raja Insulator</t>
  </si>
  <si>
    <t>Sudah PO, alam belum PO ke DALIAN</t>
  </si>
  <si>
    <t>Insulator Laely PO Hari ini, sudah DP 20%</t>
  </si>
  <si>
    <t>DIES AI DI Mega Tech</t>
  </si>
  <si>
    <t>Pengambilan direncanakan minggu ini</t>
  </si>
  <si>
    <t>2X25MWP BALI SOLAR PV CONSTRUCTION AND INSTALLATION 150KV TRANSMISSION LINE PT. Medco Solar Bali Barat</t>
  </si>
  <si>
    <t>Niagamas Setia Usaha,PT</t>
  </si>
  <si>
    <t>Masih proses evaluasi dan teknis, Closing tgl 28 Juli 2023</t>
  </si>
  <si>
    <t>Closing 2 Agustus 2023, pembukaan sampul 1, belum ada keputusan dari medco, FU tgl 11 Desember</t>
  </si>
  <si>
    <t>2X25MWP BALI SOLAR PV CONSTRUCTION AND INSTALLATION 150KV TRANSMISSION LINE PT. Medco Solar Bali Timur</t>
  </si>
  <si>
    <t>PENGADAAN DAN PEMASANGAN 1 BAY REAKTOR 30 MVAR</t>
  </si>
  <si>
    <t>Lembah Sentral Elektronindo, PT</t>
  </si>
  <si>
    <t>sudah PO ke PLP kontraktor minta minggu ke 3 February</t>
  </si>
  <si>
    <t>paling lambat oktober delivery maret 2024, terakhir kontraktor minta bulan febuari 2024  alam sudah komunikasi dengan pak tengku SOA 12 February 2024 sudah dp 20%</t>
  </si>
  <si>
    <t>Penyempurnaan instalasi gedung dan perlengkapan K3 GIS Penggilingan II dalam rangka penyelesaian pending STP</t>
  </si>
  <si>
    <t>PLN UPT Pulogadung</t>
  </si>
  <si>
    <t>sisil nunggu scan BA dari UPT baru di upload ke VIP</t>
  </si>
  <si>
    <t>kontrak tgl 13 nov 2023, sudah submit tgl 10 Desember 2023, dana ditahan UIP upload di VIP jadi January 2024 (Kekurangan BAP)</t>
  </si>
  <si>
    <t>DESAIN, SUPLAI DAN PEMASANGAN GITET 500 KV KALIPURO</t>
  </si>
  <si>
    <t>PT. WIJAYA KARYA (Persero) Tbk</t>
  </si>
  <si>
    <t>Mbak Laely temui kontraktor</t>
  </si>
  <si>
    <t>Closing tgl 21 November 2023, Klarifikasi Teknikal disamakan dengan permintaan PLN, klarifikasi ke 2 sudah dikirim tgl 11 Des menunggu evaluasi sampul 1</t>
  </si>
  <si>
    <t xml:space="preserve">Jasa EPC Pembangunan Gardu Induk 150kV untuk Penyambungan Tenaga Listrik PLN ke UBPN Kolaka </t>
  </si>
  <si>
    <t xml:space="preserve">PT. High Volt Technology     </t>
  </si>
  <si>
    <t>Sudah PO Menunggu approval drawing dari Antam</t>
  </si>
  <si>
    <t>Sudah PO, revisi Approval Drawing, minggu ini ada agenda zoom meeting (PLP. HVT, Antam), FU tgl 18 Des, Menunggu DP, setelah DP akan di PO ke PLP</t>
  </si>
  <si>
    <t>JASA PENANGANAN ANOMALI JARINGAN DI WILAYAH UPT KARAWANG TAHUN 2023</t>
  </si>
  <si>
    <t>FU minggu ini apakah sudah ada kebutuhan KHS-nya</t>
  </si>
  <si>
    <t>FU 11 Des 2023, Kapan kebutuhannya</t>
  </si>
  <si>
    <t>PENGGANTIAN CELL KAPASITOR 50MVAR DI GI 150KV KALIWUNGU</t>
  </si>
  <si>
    <t>Klarifikasi Harga</t>
  </si>
  <si>
    <t>Closing 22 November 2023</t>
  </si>
  <si>
    <t>Pembangunan GI 150kV Tanggeung / Cianjur Selatan</t>
  </si>
  <si>
    <t>PT. Buanareksa Binaperkasa, Mega Power</t>
  </si>
  <si>
    <t>masih evaluasi sampul 1</t>
  </si>
  <si>
    <t>Mega Power menang, kami masih blm evaluasi vendor2 yg mendukung</t>
  </si>
  <si>
    <t>UPRATING 2 LB GI 150 kV LAMONGAN BAY CERME 1,2</t>
  </si>
  <si>
    <t>PT. Global Twin Star, PT. Bina Buana Sewaka, PT Masatek</t>
  </si>
  <si>
    <t>Pemenang tender GTS</t>
  </si>
  <si>
    <t>GTS Menang, sudah dikirim ke kontraktor design baru stringset tanpa arching horn</t>
  </si>
  <si>
    <t>Pekerjaan rekonfigurasi GIS Tandes TL Bay Ujung ke PKB #l dan TL Bay Perak ke PKB #2</t>
  </si>
  <si>
    <t>PT. Mahakaam Jaya Sejahtera</t>
  </si>
  <si>
    <t>baru akan proses CDA lalu ttd kontrak</t>
  </si>
  <si>
    <t>Pemenang tender 6.185.031.000 FU 27 Nov, masih proses CDA</t>
  </si>
  <si>
    <t>UPRATING LINE BAY GI 150KV BABAT DAN GI 150KV LAMONGAN</t>
  </si>
  <si>
    <t>Insulatornya ABI Stringsetnya PLP, masih menunggu klarifikasi teknikal</t>
  </si>
  <si>
    <t>Klarifikasi sampul 1</t>
  </si>
  <si>
    <t>Pengadaan material untuk pemeliharaan di wilayah UPT Bogor</t>
  </si>
  <si>
    <t>Closing 12 Desember, Jumat 8 harus sudah selesai semua</t>
  </si>
  <si>
    <t>Closing 12 Desember, masih evaluasi sampul 1
INA
DML
Trisco</t>
  </si>
  <si>
    <t>PEKERJAAN PEMBANGUNAN SUTT 150 KV JERANJANG – SEKOTONG DAN GI 150 KV JERANJANG EXT. (2LB)</t>
  </si>
  <si>
    <t>KSO PT. PURNAMA INDONESIA – PT. KENCANA ALAM PUTRA</t>
  </si>
  <si>
    <t>Closing 10 November</t>
  </si>
  <si>
    <t>Lolos sampul 1</t>
  </si>
  <si>
    <t>PEMBANGUNAN EXT 1 TR BAY TRAFO KE 4 150/20 KV 60 MVA GI CIKANDE LINGKUP JASA PEMASANGAN</t>
  </si>
  <si>
    <t>PT INDEVCO GLOBAL</t>
  </si>
  <si>
    <t>Closing 4 Desember</t>
  </si>
  <si>
    <t>Tender ulang semua sudah disubmit ulang</t>
  </si>
  <si>
    <t>PEMBANGUNAN GI 150 KV PAKNING</t>
  </si>
  <si>
    <t>PT SAPTA GUNA UTAMA</t>
  </si>
  <si>
    <t>Closing 15 Desember</t>
  </si>
  <si>
    <t>PEMBANGUNAN BAY KOPLER 150 KV GI SAMBUTAN
PT PLN (PERSERO) UNIT INDUK PENYALURAN DAN PUSAT PENGATUR BEBAN KALIMANTAN</t>
  </si>
  <si>
    <t>PT. DISTRACO</t>
  </si>
  <si>
    <t>Closing 6 Desember, Distraco menang besok CDA</t>
  </si>
  <si>
    <t>PEMBANGUNAN EXT 1 TR BAY TRAFO KE 3 150/20 KV 60 MVA GI PUNCAK ARDI MULYA II (GI MODERN) LINGKUP JASA PEMASANGAN</t>
  </si>
  <si>
    <t>Closing 5 Desember</t>
  </si>
  <si>
    <t>EXTENSION 1 BAY TRAFO 150/20KV NGORO (PEMASANGAN EXTENSION 1 BAY TRAFO 150/20KV NGORO)</t>
  </si>
  <si>
    <t>PT. Purnama Indonesia, Binabuana Sewaka, Buanareksa</t>
  </si>
  <si>
    <t>Closing tgl 15 Desember</t>
  </si>
  <si>
    <t>Masih evaluasi sampul 1</t>
  </si>
  <si>
    <t>PENGADAAN DAN PENGGANTIAN ISOLATOR KONDISI KRITIS TERSEBAR DI UNIT TRANSMISI JAWA BAGIAN TIMUR DAN BALI (PENGADAAN ISOLATOR KOMPOSIT)</t>
  </si>
  <si>
    <t>PT. Kencana Alam Putra, Purnama Indonesia</t>
  </si>
  <si>
    <t>Closing tgl 22 Desember, masih evaluasi</t>
  </si>
  <si>
    <t>PENGADAAN DAN PEMASANGAN REAKTOR 70 KV GARDU INDUK RUTENG SISTEM FLORES</t>
  </si>
  <si>
    <t>PT. Lembah Sentral Elektronindo, Mulya Jatra</t>
  </si>
  <si>
    <t>Closing tgl 19 Desember</t>
  </si>
  <si>
    <t>PENANGANAN TOWER T-73 DAN T-75 SUTT 70KV NONOHONIS – KEFAMENANU SISTEM TIMOR</t>
  </si>
  <si>
    <t>PT. SINERGI PROPERTI PRATAMA</t>
  </si>
  <si>
    <t>Menunggu aproval Drawing</t>
  </si>
  <si>
    <t>PENGOPERASIAN IBT 6 KRIAN</t>
  </si>
  <si>
    <t>Closing 29 Desember, Menunggu penawaran harga dari PLP</t>
  </si>
  <si>
    <t>PEMASANGAN EXTENSION 1 BAY TRAFO 150/20 KV TULUNGAGUNG II</t>
  </si>
  <si>
    <t>Closing 10 Januari 2024, Menunggu penawaran harga dari PLP</t>
  </si>
  <si>
    <t>Progres 2022</t>
  </si>
  <si>
    <t>Pengadaan dan Pemasangan Kapasitor di Gl Puger 1x25 Mvar (Tahap 2)</t>
  </si>
  <si>
    <t>PT MAHAKAAM JAYA SEJAHTERA</t>
  </si>
  <si>
    <t>STRINGSET DAN HV CONNECTOR</t>
  </si>
  <si>
    <t>PO DP 20%, Kontraktor mau  pick up barang disatu tempat (Gudang UGC)</t>
  </si>
  <si>
    <t>Baut sudah dikirim, Tanggal Giro 10 January 2023, FU Dita</t>
  </si>
  <si>
    <t>PENGGANTIAN KAWAT PETIR ACSR MENJADI AS SUTT BANTUL-KLATEN; KENTUNGAN-MEDARI-SANGGRAHAN; BAWEN-SECANG-SANGGRAHAN; GODEAN-BANTUL; BAWEN-KLATEN</t>
  </si>
  <si>
    <t>2127828100+C5</t>
  </si>
  <si>
    <t>PT KARYA PUTRA GEMILANG / UPT Salatiga</t>
  </si>
  <si>
    <t>STRINGSET &amp; FITTINGS</t>
  </si>
  <si>
    <t>SOA 224744 Material selesai tanggal 22-23 November 2022</t>
  </si>
  <si>
    <t>Material sudah diambil 26 Desember 2022 GIRO tanggal 26 Maret 2023</t>
  </si>
  <si>
    <t>PEKERJAAN PERBAIKAN ANOMALI JARINGAN DI UPT BANDUNG</t>
  </si>
  <si>
    <t>KHS</t>
  </si>
  <si>
    <t>Kontrak Payung sudah, Parsial pemesanan menunggu konfirmasi dari PLN</t>
  </si>
  <si>
    <t>CIPTA DAYA UTAMA, PT</t>
  </si>
  <si>
    <t>ACCESSORIES AS 55 &amp; AS 70</t>
  </si>
  <si>
    <t>Menunggu Approval drawing</t>
  </si>
  <si>
    <t>Perkiraan awal tahun 2023 FU mbak Laely, Nabil</t>
  </si>
  <si>
    <t>FU Mbak laely &amp; Nabil</t>
  </si>
  <si>
    <t>Baru pengumuman pemenang</t>
  </si>
  <si>
    <t>UPRATING BUSBAR 150 KV GI PINAYUNGAN</t>
  </si>
  <si>
    <t>DUTA CAKRAWALA INDONESIA, PT</t>
  </si>
  <si>
    <t>Stringset&amp;HVC</t>
  </si>
  <si>
    <t>Revisi drawing</t>
  </si>
  <si>
    <t>Material sudah dihitung lengkap dan sudah diambil, Cek sudah difinance tanggal 14 February 2023</t>
  </si>
  <si>
    <t>FU Ikhbal</t>
  </si>
  <si>
    <t>EXTENSION 1 LINE BAY GI 150KV PETROKIMIA UNTUK LAYANAN KTT PT SMELTING</t>
  </si>
  <si>
    <t>GLOBAL TWIN STAR, PT</t>
  </si>
  <si>
    <t>Menunggu PO sudah final nego</t>
  </si>
  <si>
    <t>Barang sudah diambil GIRO tanggal 8 January 2023 FU Dita</t>
  </si>
  <si>
    <t>PENGADAAN STRING SET EARTH WIRE AS 70 MM2 DAN JASA PENGGANTIAN STRING SET SERTA EARTH WIRE DI WILAYAH UPT PURWOKERTO</t>
  </si>
  <si>
    <t>MEGA ALFARIZKI, PT</t>
  </si>
  <si>
    <t>Stringset</t>
  </si>
  <si>
    <t>Menunggu DP, Material selesai tgl 23/12/22 &amp; 25/11/22</t>
  </si>
  <si>
    <t xml:space="preserve"> GIRO tanggal 15 January 2023, Material diambil  tanggal 13 Desember 2022 FU Dita</t>
  </si>
  <si>
    <t>PENGADAAN DAN JASA PENGGANTIAN DOUBLE STRING SET SERTA ISOLATOR 120 KN UNTUK SUTT 150 KV GOMBONG - RAWALO - KESUGIHAN T.35-99</t>
  </si>
  <si>
    <t>DP sudah masuk 30%, Material selesai tgl 04/11/22</t>
  </si>
  <si>
    <t>Material sudah diambil tanggal 31 Oktober 2022 CEK baru tangal 28 February 2023</t>
  </si>
  <si>
    <t>SOA 224785(28/10/2022)</t>
  </si>
  <si>
    <t>Cek perlu diganti</t>
  </si>
  <si>
    <t>Material sudah di cek dan dihitung, material shackle sudah ready tanggal 30 Desember 2022, turnbuckle pengganti CDE QTY 360 PO Hariini dan material selesai tanggal 6 February 2023 Info ke sicame jangan pake sisa stock, Masih menunggu progres project Purbalingga - Rawalo</t>
  </si>
  <si>
    <t>Additional JASA PENGGANTIAN TRAFO #2 GI 150 KV SEMANU</t>
  </si>
  <si>
    <t>Sudah PO (2)</t>
  </si>
  <si>
    <t>Material sudah diambil tanggal 5 January 2023 Dita cek pembayaran harus sudah masuk tanggal 4 February 2023</t>
  </si>
  <si>
    <t>JASA PENGGANTIAN TRAFO #2 GI 150 KV SEMANU</t>
  </si>
  <si>
    <t>Menunggu Approval Drawing, Kontraktor minta diskon</t>
  </si>
  <si>
    <t>Pengadaan SUTT 150KV Rawalo Star T01-55</t>
  </si>
  <si>
    <t>Minta harga diskon ke sicame, minta jasa ke kontraktor, Sudah DP 10%, Minta jadwal FAT</t>
  </si>
  <si>
    <t>Material sudah lengkap sisa pembayaran 467.421.140,47 (Termin 2)</t>
  </si>
  <si>
    <t>PENGADAAN DAN PEMASANGAN KAPASITOR 1X50 MVAR GI 150KV PURWOSARI</t>
  </si>
  <si>
    <t>Purnama Indonesia, PT</t>
  </si>
  <si>
    <t>Menunggu pembayaran, dan barang ready stock</t>
  </si>
  <si>
    <t>PENGADAAN DAN PEMASANGAN RELAY BUSBAR PROTECTION DI GI 150KV LAGADAR, GI 150KV WAYANGWINDU, GITET 500KV BANDUNG SELATAN, GISTET 500KV SAGULING, GIS 150KV SIMPANG LIMA, DAN GI 150KV JEPARA</t>
  </si>
  <si>
    <t>Menunggu Drawing MTU</t>
  </si>
  <si>
    <t>Kencana Alam Putra, PT</t>
  </si>
  <si>
    <t>Drawing untuk approval sudah diberikan ke Zaenal KAP, Tinggal menunggu respon</t>
  </si>
  <si>
    <t xml:space="preserve">PENGADAAN DAN PENGGANTIAN GSW TERSEBAR DI WILAYAH ULTG KEDIRI DAN ULTG BABAT </t>
  </si>
  <si>
    <t>STRING SET</t>
  </si>
  <si>
    <t>SOA 224943 ( Dec 2022- Feb 2023), Material sudah dipick up, kekurangan material suspesion clamp (February) dan awar (January) Pak Dedy FU ke pak Teguh dan cek gudang alam GIRO tanggal 22 Maret 2023</t>
  </si>
  <si>
    <t>PENGADAAN DAN PENGGANTIAN GSW TERSEBAR DI WILAYAH ULTG MADIUN</t>
  </si>
  <si>
    <t>SOA 224951 ( Dec 2022- Feb 2023), Material diambil parsial tanggal 17 January 2023 Suspension clamp dan Awar qty 350 pcs sisanya tanggal 17 February 2023 dan GIRO parsial yang pertama tanggal 21 Maret 2023 Cek bagian keuangan invoice PLP baru bisa diterbitkan jika sudah material semua selesai (setelah tgl 17 February 2023)</t>
  </si>
  <si>
    <t>Pembangunan Ekstension 1 Line Bay Konsumen di GI 150kV Indoferro</t>
  </si>
  <si>
    <t>Menunggu Kontrak</t>
  </si>
  <si>
    <t>Buanareksa Binaperkasa, PT</t>
  </si>
  <si>
    <t>Nabil FU ke buanareksa taggal 12 January 2023</t>
  </si>
  <si>
    <t>Additional GIS Gunung Sari</t>
  </si>
  <si>
    <t>Sastramas Estetika, PT</t>
  </si>
  <si>
    <t>SOA 20 January 2023 (PLP)
Disk Insulator Ready stock (Kuarta) FU Dita</t>
  </si>
  <si>
    <t>Perkuatan Proteksi Petir Tersebar Wilayah UPT Madiun</t>
  </si>
  <si>
    <t>Persada Indah Muda, PT</t>
  </si>
  <si>
    <t>Menunggu approval drawing dari PLN</t>
  </si>
  <si>
    <t>JASA PEMASANGAN MTU DI WILAYAH UPT PROBOLINGGO</t>
  </si>
  <si>
    <t>Menunggu Approval Drawing</t>
  </si>
  <si>
    <t>Cahaya Karya Bersama, PT</t>
  </si>
  <si>
    <t>sedang menunggu revisi drawing dari principal untuk diajukan ulang ke PLN FU Euis</t>
  </si>
  <si>
    <t>SUTT PLN UPT BEKASI</t>
  </si>
  <si>
    <t>Jati Mulia, PT - DUTA CAKRAWALA INDONESIA, PT</t>
  </si>
  <si>
    <t>Menunggu penawaran harga dari ALAM</t>
  </si>
  <si>
    <t>Progres 2021</t>
  </si>
  <si>
    <t>Value</t>
  </si>
  <si>
    <t>Nama Kontraktor</t>
  </si>
  <si>
    <t>PLP Promise</t>
  </si>
  <si>
    <t>Remarks PLP</t>
  </si>
  <si>
    <t>GI 150 kV Tawaeli</t>
  </si>
  <si>
    <t>Prospek</t>
  </si>
  <si>
    <t>NSU</t>
  </si>
  <si>
    <t>Update drawing dan harga sudah, menunggu nego Kontraktor dengan PLN</t>
  </si>
  <si>
    <t>-</t>
  </si>
  <si>
    <t>Menunggu informasi dari NSU drawing sudah diberikan ke kontraktor harusnya sudah di approval PLN, belum ngasih penawaran FU Pak Fuad</t>
  </si>
  <si>
    <t>Tunggu PO Kontraktor ke Alam</t>
  </si>
  <si>
    <t>Fuad</t>
  </si>
  <si>
    <t>menunggu info selanjutnya dari PLN</t>
  </si>
  <si>
    <t>GI 150 kV Bunta</t>
  </si>
  <si>
    <t xml:space="preserve"> </t>
  </si>
  <si>
    <t>Menunggu informasi dari NSU drawing sudah diberikan ke kontraktor harusnya sudah di approval PLN</t>
  </si>
  <si>
    <t>surat pernyataan dari PLP, menunggu info selanjutnya dari PLN</t>
  </si>
  <si>
    <t xml:space="preserve">TL 150kV TIP 12 PLN Smelter CNI Switchyard </t>
  </si>
  <si>
    <t>Owner : CNI</t>
  </si>
  <si>
    <t>Pak Fuad FU ke Bu Happy/Bu Zakhia</t>
  </si>
  <si>
    <t>Belum ada pengumuman dari PP, blm ada kabar</t>
  </si>
  <si>
    <t>TL 150kV KID - Pakning Sec. 1, 2 &amp; 3</t>
  </si>
  <si>
    <t>Owner : Sumbagteng</t>
  </si>
  <si>
    <t>Pak Fuad FU ke Pak OktaPLN Sumbagteng</t>
  </si>
  <si>
    <t>FU Pak Fuad ke Pak Oktarico, pengumuan sec.3 saja (dihold)</t>
  </si>
  <si>
    <t>Pengadaan Stringset dan Jasa Penggantian GSW Rantas dan Korosif SUTT 70kV KSBRU-RSDKL T.01 S/D T.103 Dan Antara Tower A76 - A86 SUTET 500kV Cirata - Deltamas 1-2</t>
  </si>
  <si>
    <t>Persada Indah Muda 
(Pak Pradana)</t>
  </si>
  <si>
    <t>16 Juli 2021</t>
  </si>
  <si>
    <t xml:space="preserve">DP dan Approval drawing sudah </t>
  </si>
  <si>
    <t>Material diambil 24 Aug 2021, cash + cover giro 31/12/2021</t>
  </si>
  <si>
    <t>PENGANTIAN GSW AS 55 (T.10-T.36) SUTT 150 KV CILEGON BARU - ASAHIMAS - POLYPRIMA</t>
  </si>
  <si>
    <t>Akhir January 2022</t>
  </si>
  <si>
    <t>Sudah DP, material selesai akhir January 2022</t>
  </si>
  <si>
    <t>Progress 2020</t>
  </si>
  <si>
    <t>Remark Kontraktor</t>
  </si>
  <si>
    <t>150KV GI LUWUK &amp; TOILI</t>
  </si>
  <si>
    <t>Amanda</t>
  </si>
  <si>
    <t>STRINGSET DAN HV CONNECTOR, PROSES ANTRIAN</t>
  </si>
  <si>
    <t>DONE</t>
  </si>
  <si>
    <t>Tukar giro tanggal 2 Juni 2020</t>
  </si>
  <si>
    <t>Pembayaran menggunakan giro, Giro sudah expired tgl  9 Maret 2020 , FU pak Fuad minggu depan tgl 15 Juni 2020 ke bu ratna</t>
  </si>
  <si>
    <t>PI 2 buah blm di ambil masih di marunda</t>
  </si>
  <si>
    <t>sudah 297 hari AR nya, bulan oktober sudah, november mencairkan cek tiap akhir bulan, FU  Bag. Keu akhir bulan Desember 2020 dibayar januari 2021</t>
  </si>
  <si>
    <t>1. Sisa pembayaran 534 juta FU Pak Fuad untuk menanyakan kepastian pembayaran d bulan maret 2020, Cicil perbulan 100 jt (sudah masuk cicilan ke dua GI Toili) barang sudah diambil
2. PO Additional belum diambil (Nilai 32.128.800)</t>
  </si>
  <si>
    <t>PAKET 2 BAY TRAFO BANDUNG</t>
  </si>
  <si>
    <t>Sudah PO untuk  DP dibayar per GI, kontraktor mengajukan adendum untuk perpanjangan kontrak, PO Connector sudah, blm ada progres dari kontraktor. Akan membayar lagi bulan Juni</t>
  </si>
  <si>
    <t xml:space="preserve"> FU Fuad, sudah ada approval drawing dari kontraktor, PO kontraktor sudah diterima, Invoice sudah dibuatkan tgl 2 April 2020</t>
  </si>
  <si>
    <t>120 FOG, 700 PCS</t>
  </si>
  <si>
    <t>approval drawing untuk connector dan string set sudah ada, AR nya 400, kontrak sudah lewat, belum ada update lagi</t>
  </si>
  <si>
    <t xml:space="preserve"> 1. PO Stringset Purwodadi (DP Purwodadi 78 Juta sisa 182 juta).
2. PO Stringset Balapulang (Done)
3. PO Stringset Kesugihan (Done)
4. PO Connector Balapulang (Done) PO add belum lunas 
5. PO Connector Kesugihan (Done)
</t>
  </si>
  <si>
    <t>GI 150 kV Air Raja</t>
  </si>
  <si>
    <t>K E</t>
  </si>
  <si>
    <t>dokumen penagihan sudah lengkap di Bag. Keuangan KE (0254) 394100 ext 144 (PIC. Pak Yapi)</t>
  </si>
  <si>
    <t>sudah dikirim</t>
  </si>
  <si>
    <t>Bag. Keuangan Kasih list AR KE ke pak aco</t>
  </si>
  <si>
    <t>- air raja dan add malimping tertunggak 860 juta dicicil selama 10 bulan (perbulan 86juta)
- cicilan bulan mei 2021 sudah di bayar (75jt)</t>
  </si>
  <si>
    <t>TL 150 kV Malimping Bayah</t>
  </si>
  <si>
    <t>Stringset &amp; Ubolt</t>
  </si>
  <si>
    <t>Sudah dikirim</t>
  </si>
  <si>
    <t>- retensi Rp.382.596.613, maret bayar Rp.267.116.372 sisa Rp.115.453.241 2021
- cicilan bulan mei 2021 sudah di bayar (75 jt)</t>
  </si>
  <si>
    <t>Bay Kapasitor GI Tersebar</t>
  </si>
  <si>
    <t>KSO TDKK - Metrindo</t>
  </si>
  <si>
    <t xml:space="preserve">- belum bayar 258 juta (final qty belum selesai)
- menunggu final cek dari PLN, di FU oleh Pak Samudra 
</t>
  </si>
  <si>
    <t>TL Cisumdawu</t>
  </si>
  <si>
    <t>DSU</t>
  </si>
  <si>
    <t>- belum bayar 432 juta</t>
  </si>
  <si>
    <t>GI Rum</t>
  </si>
  <si>
    <t xml:space="preserve">Pratama Tunas Nusantara </t>
  </si>
  <si>
    <t xml:space="preserve">- belum bayar 462 juta </t>
  </si>
  <si>
    <t>GI 150 kV Sekotong</t>
  </si>
  <si>
    <t>Sastramas</t>
  </si>
  <si>
    <t xml:space="preserve">PLN sudah Approval, PO kontraktor sudah, invoice DP di bulan maret 2020, </t>
  </si>
  <si>
    <t>PLP sudah kirim AO due tgl 7 april 2020</t>
  </si>
  <si>
    <t>Barang sudah diambil semua</t>
  </si>
  <si>
    <t xml:space="preserve">- sisa hutang nya 740 juta baru dicicil 1x (50juta)
</t>
  </si>
  <si>
    <t>GI Padang Sambian</t>
  </si>
  <si>
    <t>- belum bayar 273 juta janji habis lebaran, 17 Mei 2021</t>
  </si>
  <si>
    <t>GI Ende Ruteng</t>
  </si>
  <si>
    <t>- belum bayar 82 juta</t>
  </si>
  <si>
    <t>Komponen HWK App Purwokerto</t>
  </si>
  <si>
    <t>Pelita Bumi Wangi</t>
  </si>
  <si>
    <t>Komponen HWK</t>
  </si>
  <si>
    <t>*. Pembayaran di bulan maret 2020 tgl 10 maret jika blm ada akan memberikan giro</t>
  </si>
  <si>
    <t xml:space="preserve">FU pak Fuad </t>
  </si>
  <si>
    <t>- kurang 101 juta Janji dibayar habis lebaran 17 Mei 2021</t>
  </si>
  <si>
    <t>Sangata Maloy Sec. 1-3</t>
  </si>
  <si>
    <t>Waskita Karya</t>
  </si>
  <si>
    <t>16 Maret 2021</t>
  </si>
  <si>
    <t>Bu Sari</t>
  </si>
  <si>
    <t>- Material tahap 1 sudah di kirimkan, Surat Delivery Time sudah diberikan dari PLP
- material add akan dikirim bulan juni
- addendum kontrak ttd waskita sudah diterima
- cicilan sec.1 sudah dibayar 500jt bulan mei 2021</t>
  </si>
  <si>
    <t>Relokasi KCIC DK 73</t>
  </si>
  <si>
    <t>Dwipa Konektra</t>
  </si>
  <si>
    <t xml:space="preserve">Sudah PO Stringset ke PLP DK 73, Insulator belum PO menunggu approval dari WIKA </t>
  </si>
  <si>
    <t>Priyo</t>
  </si>
  <si>
    <t>menunggu pembayaran pelunasan dari dwipa dan pengambilan material nya</t>
  </si>
  <si>
    <t xml:space="preserve">TL 150 KV Rengat Tembilahan 4  </t>
  </si>
  <si>
    <t>PT. Waskita Karya</t>
  </si>
  <si>
    <t>Pengiriman untuk material tgl 15 Oktober sudah dikirim</t>
  </si>
  <si>
    <t>- Barang add sudah dipacking 
- cicilan sudah dibayar 500jt</t>
  </si>
  <si>
    <t>GI Manisrejo</t>
  </si>
  <si>
    <t>Purnama</t>
  </si>
  <si>
    <t>Stringset &amp; Connector</t>
  </si>
  <si>
    <t>- Barang sudah digudang
- DP belum (201 juta pelunasan 470 juta)
- pembayaran giro jatuh tempo 22 Juni 2021
- cicilan pembayaran 50 jt bulan Mei 2021</t>
  </si>
  <si>
    <t>Post Insulator 20kV</t>
  </si>
  <si>
    <t>Basuki</t>
  </si>
  <si>
    <t>Post Insulator</t>
  </si>
  <si>
    <t xml:space="preserve">- maret sudah bayar 200jt sisa 87jt
</t>
  </si>
  <si>
    <t>83-866-054-458</t>
  </si>
  <si>
    <t>Very Urgent</t>
  </si>
  <si>
    <t>Urgent</t>
  </si>
  <si>
    <t>Standart</t>
  </si>
  <si>
    <t>Next Project</t>
  </si>
  <si>
    <t>Estimated Value (Rp)</t>
  </si>
  <si>
    <t>Kontraktor</t>
  </si>
  <si>
    <t>Remark</t>
  </si>
  <si>
    <t>Target</t>
  </si>
  <si>
    <t>Project Loss</t>
  </si>
  <si>
    <t>Remak PLP</t>
  </si>
  <si>
    <t>GI 150 kV SUNYARAGI</t>
  </si>
  <si>
    <t>MPT</t>
  </si>
  <si>
    <t>DISC INSULATOR</t>
  </si>
  <si>
    <t>End of Desember 2019</t>
  </si>
  <si>
    <t>Sudah ada penawaran dari Alam, diganti sediver</t>
  </si>
  <si>
    <t>120 FOG, 1250 PCS Menunggu Konfirmasi dari Pak Dyan</t>
  </si>
  <si>
    <t>GI 150 kV SEMEN JAWA</t>
  </si>
  <si>
    <t>Menunggu penawaran dari Alam</t>
  </si>
  <si>
    <t>Tunggu penawaran dari PLP</t>
  </si>
  <si>
    <t>GANTI MEREK, Karena kita minta penawaran 24 april baru di berkan harga 9 juni</t>
  </si>
  <si>
    <t>Relokasi 275 kv Pekanbaru</t>
  </si>
  <si>
    <t>Bekasap</t>
  </si>
  <si>
    <t xml:space="preserve">Stringset </t>
  </si>
  <si>
    <t>Menunggu Penawaran dari Alam (Priyo) FU pak priyo tgl 25/11/2019</t>
  </si>
  <si>
    <t xml:space="preserve"> CISUMDAWU PHASE 4</t>
  </si>
  <si>
    <t>CMS/DSU (Dede Sufthendy)</t>
  </si>
  <si>
    <t>STRINGSET ACSR 450/410</t>
  </si>
  <si>
    <t>batal PO, email sudah , menunggu pembayaran 420 juta</t>
  </si>
  <si>
    <t>kebutuhan material : double tension yang kita punya 340, 450 (12 set) Insulator 300 pcs, Light weight spacer 200 crs for ACSR 450 15 pcs, dan spacer 400 crs  ACSR 450 42 pcs koordinasi untuk leadtime kabelindo dan penambahan material outstrisd dan ACSR 120
material stok ACSR 340 tetapi harus diganti untuk double conductor menjadi single</t>
  </si>
  <si>
    <t>Aco</t>
  </si>
  <si>
    <t>GI 150 kV SUMENEP</t>
  </si>
  <si>
    <t>PPWS</t>
  </si>
  <si>
    <t>End of Maret 2019</t>
  </si>
  <si>
    <t>pak aco udh FU untuk pembayarannya karena copy invoice sudah di serahkan</t>
  </si>
  <si>
    <t>connector memakai produk lokal tidak PLP String dan konektor masih menunggu dari PLP (Drawing dan Penawaran)</t>
  </si>
  <si>
    <t>150KV GI PAMEKASAN</t>
  </si>
  <si>
    <t>Connector</t>
  </si>
  <si>
    <t>Agustus 2019</t>
  </si>
  <si>
    <t>hanya beli string set nya selesai, spacer blm bikin PO</t>
  </si>
  <si>
    <t>spacer masih ditanyakan ke pak dede, Crossceck PO terdahulu di keuangan Konektor masih menunggu konfirmasi Pak Dyan, belum di PO Konektor</t>
  </si>
  <si>
    <t>GI Balaraja</t>
  </si>
  <si>
    <t>GTS</t>
  </si>
  <si>
    <t>Stingset</t>
  </si>
  <si>
    <t>blm di approval jadi blm di bikin PO (blm ada Update) pak fuad FU minggu ini</t>
  </si>
  <si>
    <t>Pak Fuad FU minggu ini</t>
  </si>
  <si>
    <t>GI Lengkong, GI Legok</t>
  </si>
  <si>
    <t>Stringset dan Conector</t>
  </si>
  <si>
    <t>Tender di ulang habis lebaran</t>
  </si>
  <si>
    <t>Menunggu Shoping list dari kontraktor</t>
  </si>
  <si>
    <t>menunggu meeting dgn PLP, hasilnya untuk meeting tgl 10 Maret 2020 di PLN Gandul Kontraktor belum kontrak dengan PLN, FU pak priyo ke  pak wahyu</t>
  </si>
  <si>
    <t>GI Tanjung Pura 150kV dan GI Samalanga</t>
  </si>
  <si>
    <t>Medan Smart Jaya</t>
  </si>
  <si>
    <t>ADSS+Join Box</t>
  </si>
  <si>
    <t>AO Sudah</t>
  </si>
  <si>
    <t>Barang sudah jadi, invoice dikirim 25 Februari 2020</t>
  </si>
  <si>
    <t>Sorikmarapi</t>
  </si>
  <si>
    <t>Lumintu - Supraco</t>
  </si>
  <si>
    <t>Menunggu konfirmasi dari kontraktor, hari ini ada info dari Lumintu pak dunung</t>
  </si>
  <si>
    <t xml:space="preserve">Proyek 150KV ACCC Kopenhagen Relokasi Tower KCIC </t>
  </si>
  <si>
    <t>EIP</t>
  </si>
  <si>
    <t>Harga Terlalu Mahal</t>
  </si>
  <si>
    <t>Kontraktor Cirebon</t>
  </si>
  <si>
    <t xml:space="preserve">PT Cipta Daya Utama </t>
  </si>
  <si>
    <t>Penawaran sudah tunggu PO</t>
  </si>
  <si>
    <t>Survei tgl 30 Juni 2020</t>
  </si>
  <si>
    <t xml:space="preserve">SUTT Wonosobo Secang, SUTT Jelok - Sanggrahan </t>
  </si>
  <si>
    <t>Stringset dan Insulator</t>
  </si>
  <si>
    <t>UPT Salatiga</t>
  </si>
  <si>
    <t>Pemenang Pelita Bumi Wangi</t>
  </si>
  <si>
    <t>TL 150 Marisa - Moutong Sec.1&amp;2</t>
  </si>
  <si>
    <t>Stringset Insulator</t>
  </si>
  <si>
    <t>PT. KAP</t>
  </si>
  <si>
    <t>Dokumen kelengkapan tender sudah diberikan</t>
  </si>
  <si>
    <t>Nusra 7 TL 5 GI</t>
  </si>
  <si>
    <t>KAP</t>
  </si>
  <si>
    <t>Priyo &amp; Aco</t>
  </si>
  <si>
    <t>GI Bima Sape Lanjutan(KAP) kalah</t>
  </si>
  <si>
    <t>Ditunda Thn Depan</t>
  </si>
  <si>
    <t>Relokasi KCIC DK 86</t>
  </si>
  <si>
    <t>Dwipa</t>
  </si>
  <si>
    <t>Dwipa ke KPP</t>
  </si>
  <si>
    <t>TL 150kV Tanjung Sari</t>
  </si>
  <si>
    <t>Alhas Jaya Group</t>
  </si>
  <si>
    <t>GISTET Duri Kosambi 500kV dan GI 150kV Duri Kosambi</t>
  </si>
  <si>
    <t>PT Buana Reksa</t>
  </si>
  <si>
    <t>Pemenang Buanareksa pakai sicam</t>
  </si>
  <si>
    <t>TL 150kV Marunda Bekasi</t>
  </si>
  <si>
    <t>Tri Sinergi</t>
  </si>
  <si>
    <t>pake barang KAK (ready)</t>
  </si>
  <si>
    <t>GIS 150 kV Ancol</t>
  </si>
  <si>
    <t>Lumintu</t>
  </si>
  <si>
    <t>dibatalkan sepihak oleh PLN</t>
  </si>
  <si>
    <t>KCIC DK108
atau
SUTT 150KV Purwakarta - Kosambi Baru Tol Japek 2 Sisi</t>
  </si>
  <si>
    <t>Pemenang PT. CMS, menunggu pembayaran dari WIKA</t>
  </si>
  <si>
    <t>Menunggu info dari pak asep CMS, lahan belum bebas ditunda atau kemungkinan dibatalkan</t>
  </si>
  <si>
    <t>Jatiluhur - Cikampek DK 130 &amp; 132</t>
  </si>
  <si>
    <t>Alhas</t>
  </si>
  <si>
    <t>Stringset &amp; Insulator ( Dalian)</t>
  </si>
  <si>
    <t>menunggu approval drawing dari PLN E, PLN UIT Bandung</t>
  </si>
  <si>
    <t>- menunggu info konsinyering dari KCIC dan UIP Bandung, menunggu approval PLN E</t>
  </si>
  <si>
    <t>Pengadaan dan Pemasangan MTU P0 Non Swakelola di UPT Gresik tahun 2021</t>
  </si>
  <si>
    <t>Menunggu Eksekusi Project</t>
  </si>
  <si>
    <t>PT MULYA JATRA</t>
  </si>
  <si>
    <t>HVC</t>
  </si>
  <si>
    <t>PLP/Sicame</t>
  </si>
  <si>
    <t>Penggantian MTU KARAWANG</t>
  </si>
  <si>
    <t>Loss, Balik ke IAG</t>
  </si>
  <si>
    <t>PT JATIMULIA INDONESIA</t>
  </si>
  <si>
    <t>PEMBANGUNAN BUS SECTION GI 150KV PAITON</t>
  </si>
  <si>
    <t>info ke PLN</t>
  </si>
  <si>
    <t>menunggu revisi Drawing dari PLP</t>
  </si>
  <si>
    <t>PENGGANTIAN KAWAT GSW SUTET 500 KV BALARAJA – LENGKONG – GANDUL DALAM RANGKA PENGGANTIAN GSW TERSEBAR PADA SALURAN TRANSMISI WILAYAH UPT CAWANG</t>
  </si>
  <si>
    <t>Menunggu kontrak</t>
  </si>
  <si>
    <t>Karya Putra Gemilang, PT</t>
  </si>
  <si>
    <t>KSO dengan Bira, Kemungkinan besar Bira sudah opeb PO ke distributor lain</t>
  </si>
  <si>
    <t>PENGGANTIAN TRAFO KONDISI KRITIS PO TRAFO 2 70/20 KV GI KRACAK</t>
  </si>
  <si>
    <t>INDEVCO GLOBAL, PT</t>
  </si>
  <si>
    <t>FU</t>
  </si>
  <si>
    <t>JASA PENGGESERAN TRAFO DI GI 150KV BANARAN, GIS DRIYOREJO DAN GI 70KV DOLOPO (PEKERJAAN UPRATING IBT 1 DAN TINDAKLANJUT ANOMALI PENGGANTIAN TRAFO 4 GIS DRIYOREJO</t>
  </si>
  <si>
    <t>Menunggu konfirmasi kontraktor</t>
  </si>
  <si>
    <t>Karyasembada Ciptamandiri, PT</t>
  </si>
  <si>
    <t>Kontraktor menunggu konfirmasi PLN terkait kesiapan material 6 minggu, Mbak Laely cari barang yang stock</t>
  </si>
  <si>
    <t>PENYEMPURNAAN REKONFIGURASI SINGLE BUSBAR MENJADI DOUBLE BUSBAR GI BULUKANDANG (TAHAP 2)</t>
  </si>
  <si>
    <t>String set &amp; Insulator 120Fog</t>
  </si>
  <si>
    <t>Material pakai pabrikan sangdong</t>
  </si>
  <si>
    <t>Insulator U120BP</t>
  </si>
  <si>
    <t>PT Alhas Jaya Group</t>
  </si>
  <si>
    <t>Minta dari negara OECD, minta penawaran harga ke La Granja</t>
  </si>
  <si>
    <t>Mbak Laely</t>
  </si>
  <si>
    <t xml:space="preserve">FU ke kontraktor penawaran harga alam,Jati Mulia belum dibalas ,DCI Mundur </t>
  </si>
  <si>
    <t>Fu nabil minggu ini</t>
  </si>
  <si>
    <t>Pengadaan Barang dan Jasa Konstruksi SUTT 150 kV Kubu – Amlapura Section 1</t>
  </si>
  <si>
    <t>KSO CITRA RIANTARA - ALHAS JAYA GROUP, PT</t>
  </si>
  <si>
    <t>FU ganti ke Euis, Tidak jadi ikut karena HPS terlalu rendah</t>
  </si>
  <si>
    <t>Pengadaan Barang dan Jasa Konstruksi SUTT 150 kV Kubu – Amlapura Section 3</t>
  </si>
  <si>
    <t>KSO MAHAKAAM - ALHAS JAYA GROUP, PT</t>
  </si>
  <si>
    <t>Kabel Dropwire 2 &amp; 4 Core</t>
  </si>
  <si>
    <t>Moratelindo,PT</t>
  </si>
  <si>
    <t>CCSI</t>
  </si>
  <si>
    <t>Pak Agus</t>
  </si>
  <si>
    <t>Tender Material Non Rutin UPT Duri Kosambi</t>
  </si>
  <si>
    <t>PLN UPT Duri Kosambi, PT</t>
  </si>
  <si>
    <t>Pemenang tender SPE</t>
  </si>
  <si>
    <t>Dita</t>
  </si>
  <si>
    <t>Jasa Pekerjaan Perbaikan Anomali Instalasi &amp; tindak lanjut gangguan di UPT Bogor</t>
  </si>
  <si>
    <t>PLN UPT Bogor, PT</t>
  </si>
  <si>
    <t>Kalah tender, Pemenang PSE, INA missed di PPN</t>
  </si>
  <si>
    <t>closing 27 Januari 2023</t>
  </si>
  <si>
    <t>Jasa Penggantian GSW korosif dan stringset pada SUTET 500 kv Cirata-Deltamas 2 span UPT Karawang</t>
  </si>
  <si>
    <t>PLN UPT Karawang, PT</t>
  </si>
  <si>
    <t>Pemenang tender PT. Arca</t>
  </si>
  <si>
    <t>closing 6 Februari 2023</t>
  </si>
  <si>
    <t>Pembangunan GI 150 kV Pematang Siantar (Ext.) 2 LB Arah Tanah Jawa</t>
  </si>
  <si>
    <t>Pemenang PT. Elsewedy</t>
  </si>
  <si>
    <t>closing 23 January 2023</t>
  </si>
  <si>
    <t>Sibrama Sakti, PT</t>
  </si>
  <si>
    <t>Pemenang tender PT. Elsewedy</t>
  </si>
  <si>
    <t>Pengadaan Barang dan Jasa Konstruksi SUTT 150 kV Kubu – Amlapura Section 2</t>
  </si>
  <si>
    <t>ALHAS JAYA GROUP, PT</t>
  </si>
  <si>
    <t>Pemenang tender PT. Indisi</t>
  </si>
  <si>
    <t>Hasta, PT</t>
  </si>
  <si>
    <t>Clamp MTU UPT Duri Kosambi</t>
  </si>
  <si>
    <t>Duta Cakrawala Indonesia ,PT</t>
  </si>
  <si>
    <t>Karena respon PLP lama, Kontraktor minta ke SDR</t>
  </si>
  <si>
    <t>Insulator Glass 1700 pcs untuk 500kV (160/210kN Fog ,GIG)</t>
  </si>
  <si>
    <t>UPT PLN BEKASI/BOGOR,PT</t>
  </si>
  <si>
    <t>FU Mbak Laely</t>
  </si>
  <si>
    <t>Insulator Polymer UPT Pulogadung</t>
  </si>
  <si>
    <t>PLN UPT Pulogadung, PT</t>
  </si>
  <si>
    <t>Tidak lolos sampul 1 karena tidak ada surat keterangan kepuasan pelanggan dari pekerjaan barang dan jasa</t>
  </si>
  <si>
    <t>Kabel NYRGbY 4x10 mm</t>
  </si>
  <si>
    <t>PT Arca Energi</t>
  </si>
  <si>
    <t>Harga terlalu mahal</t>
  </si>
  <si>
    <t>Insulator Dalian</t>
  </si>
  <si>
    <t>Jasa penggantian stringset serta Insulator SUTT 70kV Cibinong Cileungsi</t>
  </si>
  <si>
    <t>INA missed di PPN, Ada 6 yg ikut, pemenang sampul 1 Pelita bumi wangi, DCI, Cita yasa, yang pemenang harganya Pelita bumi wangi</t>
  </si>
  <si>
    <t>Relokasi SKTM Jl.Narogong (voksel)</t>
  </si>
  <si>
    <t>PT Sigeaon Indah Mandiri</t>
  </si>
  <si>
    <t>Minta ganti spek sesuai dengan SPLN, kontraktor pakai product voksel FU Mbak laely tanggal 27 Maret 2023</t>
  </si>
  <si>
    <t>GI 150kV Semen Jawa</t>
  </si>
  <si>
    <t>Mega Power Teknindo, PT</t>
  </si>
  <si>
    <t>FU Euis terakhir tgl 20 Jan 2023 dan FU lagi 6 Maret 2023</t>
  </si>
  <si>
    <t>Dead end dan Jumper</t>
  </si>
  <si>
    <t>PPN,PT</t>
  </si>
  <si>
    <t>FU Mbak Laely, kasih drawing kita, pak dedy cek stock gudang</t>
  </si>
  <si>
    <t>Pengadaan Barang dan Jasa Konstruksi GI 150 kV Amlapura Extention 2 Line Bay</t>
  </si>
  <si>
    <t xml:space="preserve">Pemenang Tender Mega Power  </t>
  </si>
  <si>
    <t>Pemenang tender, Mega power dikarenakan penawaran harga lebih murah Alam</t>
  </si>
  <si>
    <t>Jasa penanganan anomali dan tindak lanjut gangguan transmisi wilayah upt purwokerto maret tahun 2023 - februari 2024</t>
  </si>
  <si>
    <t>PLN Purwokerto</t>
  </si>
  <si>
    <t>Kita gagal sampul 1 dikarenakan gagal di bidbond, Pemenang tender simbarhol Closing 6 Maret 2023</t>
  </si>
  <si>
    <t>JASA PENGGANTIAN KAWAT GSW BERIKUT STRINGSETNYA DI SPAN T.1 – T.26 SUTT 70 KV PURWAKARTA – INDORAMA #1 DAN #2 DAN SPAN T.1 – T.30 SUTT 150 KV JATILUHUR – TATAJABAR #1</t>
  </si>
  <si>
    <t>Hydro Techno Utama, PT</t>
  </si>
  <si>
    <t>Missed ALAM tidak memberikan TPG, Pemenang tender Arca Energi</t>
  </si>
  <si>
    <t>Penggantian Stringset di wilayah UPT Pulogadung</t>
  </si>
  <si>
    <t>Tender baru akan dikeluarkan bulan april, 27 Maret 2023 Ilham FU ke Pak Guntur</t>
  </si>
  <si>
    <t>Kebutuhan untuk April 2023- April 2024</t>
  </si>
  <si>
    <t>Additional Supply MTR 5 from MTR 2</t>
  </si>
  <si>
    <t>Indonesia Asahan Alumunium,PT</t>
  </si>
  <si>
    <t>Kalah Tender</t>
  </si>
  <si>
    <t>Pemindahan Tower 150kV Cilegon</t>
  </si>
  <si>
    <t>Krakatau Daya Listrik, PT</t>
  </si>
  <si>
    <t>Tender Gagal</t>
  </si>
  <si>
    <t>PENGADAAN DAN PEMASANGAN BUSHING TERSIER PHASA R, T BAY IBT 1 500/150 KV GITET BANDUNG SELATAN, BUSHING PHASA N BAY TRAFO 2 150/20KV GI PADALARAN BARU, BUSHING NETRAL LV BAY IBT 1 150/70 KV GI CIGERELENG, BUSHING PHASA R  BAY 4R2 GITET BANDUNG SELATAN, BUSHING PHASA S BAY IBT 1 GI UJUNGBERUNG, BUSHING PHASA R,S,T BAY TRAFO 4 GI RANCAEKEK DAN BUSHING PHASA T BAY TRAFO 1 GI NEW RANCAKASUMBA</t>
  </si>
  <si>
    <t>PT. Lembah Sentral Elektronindo</t>
  </si>
  <si>
    <t>Retender, pemenang tender PT. ENINDO ORBITAMA</t>
  </si>
  <si>
    <t>PENGADAAN ISOLATOR POLIMER 210KN BESERTA STRINGSET DAN JASA PENGGANTIAN DI SUTET 500 KV ADIPALA-S2P 1,2 T.8-10, SUTET 500 KV PEDAN-KESUGIHAN 1,2</t>
  </si>
  <si>
    <t>Mega Alfarizki, PT</t>
  </si>
  <si>
    <t xml:space="preserve">                                                                                                                                                                                                                                             </t>
  </si>
  <si>
    <t>Kalah pemenang pandan wangi pakai huble, mega alfarizki pakai fister</t>
  </si>
  <si>
    <t>Pembangunan Extension 2 LB GI 150kV Kariangau arah GIS 4 IKN dan Site Development GIS 4 IKN</t>
  </si>
  <si>
    <t>Kalah, pemenang tender jampa, esweldy, sejahtera</t>
  </si>
  <si>
    <t xml:space="preserve">PENINGGIAN TOWER T.54 DAN T.55 SUTT 150 KV CHANDRA ASRI – ANYER </t>
  </si>
  <si>
    <t>Gagal karna harga diatas HPS</t>
  </si>
  <si>
    <t xml:space="preserve">PEKERJAAN PEMBANGUNAN EXTENSION 2 LINE BAY GI 150kV KARIANGAU ARAH GIS 4 IKN </t>
  </si>
  <si>
    <t>PT.Indokomas Buana Perkasa</t>
  </si>
  <si>
    <t>JASA PENGGANTIAN KABEL POWER 20 KV 2 GI TELUKJAMBE</t>
  </si>
  <si>
    <t>Prima Power Parahiyangan, PT</t>
  </si>
  <si>
    <t>Lulus sampul 1, kalah harga dari jabar jaya
Jabar jaya; 698
Prima Power; 732
HPSnya 775</t>
  </si>
  <si>
    <t>DESAIN, SUPLAI DAN PEMASANGAN GIS 4 IKN</t>
  </si>
  <si>
    <t>KSO PT. CEMERLANG SAMUDRA KONTRINDO - PT. High Volt Technology</t>
  </si>
  <si>
    <t>Penawaran harga sudah dikirim</t>
  </si>
  <si>
    <t>Mega Power ,PT</t>
  </si>
  <si>
    <t>Pemenang tender Mega Power, pakainya sangdong dan dalian</t>
  </si>
  <si>
    <t>PENORMALAN KONFIGURASI DOUBLE PHI SUTT 150 KV BEKASI – PENGGILINGAN – RAWA TERATE DI GIS PENGGILINGAN</t>
  </si>
  <si>
    <t>Pemenang Guna swastika dinamika</t>
  </si>
  <si>
    <t>PENGGANTIAN SEALING END INDOOR DAN OUTDOOR DI WILAYAH UIT JBB LINGKUP PENGGANTIAN SEALING END JENIS XLPE</t>
  </si>
  <si>
    <t>Indevco Global, PT</t>
  </si>
  <si>
    <t>Closing tgl 15 Mei 2023, Tidak jadi ikut pemasukan dikarenakan tidak ada dukungan sealing end</t>
  </si>
  <si>
    <t>JASA PENGGANTIAN MTU P0 DI WILAYAH UPT PURWOKERTO</t>
  </si>
  <si>
    <t>Selasa, tgl 16 Mei 2023 pembukaan sampul 2 sudah kemarin hari jumat &amp; LSE kalah di harga selisi 128jt-an</t>
  </si>
  <si>
    <t>PENGGANTIAN DAN PENYEMPURNAAN PERALATAN INSTALASI GARDU INDUK DI WILAYAH UIT JBB LINGKUP JASA PENGGANTIAN TRAFO #3 150/20 KV 60 MVA GIS GEDUNG POLA</t>
  </si>
  <si>
    <t>Tender batal type test diminta 2000amper tetapi yang diberikan 1600amper peserta simbarhol, Electrika mitra usaha PLN Pulogadung</t>
  </si>
  <si>
    <t>REROUTETOWER 26 SUTT 150KV BALOI – TJ. SENGKUANG</t>
  </si>
  <si>
    <t>KSO PT Tesla Daya Elektrika Dan PT. Citra Riantara Sejahtera</t>
  </si>
  <si>
    <t>Kalah 200jt dari Buanareksa, pemenang tender pakai sicame, Trimitra sudah sepaket dengan insulator</t>
  </si>
  <si>
    <t>PENGADAAN DAN PEMASANGAN KAPASITOR DI GI 150KV PAKIS (PENGADAAN DAN PEMASANGAN KAPASITOR DI GI 150KV PAKIS)</t>
  </si>
  <si>
    <t>Purnama Indonesia, Indevco Global, Buanareksa BinaPerkasa, PT</t>
  </si>
  <si>
    <t>Pemenang tender Hasta Karya</t>
  </si>
  <si>
    <t>PEMBANGUNAN TRANSMISI 275 KV ARUN – SIGLI SEKSI 1,2,3,4</t>
  </si>
  <si>
    <t xml:space="preserve">SGU dan Kembar Abadi
Sangkan belum dapat pasangan
QDC belum dapat pasangan
Bugak dan Twink
LNT sudah ok
Medan smart dan BBS
(Senin ke Twink
Selasa ke Rekadaya, citramas, Multifab)
</t>
  </si>
  <si>
    <t>Bukaka
SGU
Indisi
Kembar Abadi
BBS
Reka Daya
Sangkan
Citramas
Persi
Bugak
QDC
Medan smart
LNT
Siticon
Twink
Multifab</t>
  </si>
  <si>
    <t>Closing tgl 17 Juli 2023</t>
  </si>
  <si>
    <t>DESAIN, SUPLAI DAN PEMASANGAN TRANSMISI 500 KV PAITON – KALIPURO SEKSI 2</t>
  </si>
  <si>
    <t>PT. Larsen and Toubro</t>
  </si>
  <si>
    <t>Closing tender 13 Juli 2023</t>
  </si>
  <si>
    <t>PENGGANTIAN TRAFO TERSEBAR DI WILAYAH UNIT INDUK TRANSMISI JAWA BAGIAN TENGAH</t>
  </si>
  <si>
    <t>Tidak lolos sampul 1 karena admin</t>
  </si>
  <si>
    <t>PENGADAAN DAN PEMASANGAN TLA DI WILAYAH UNIT INDUK TRANSMISI JAWA BAGIAN TENGAH</t>
  </si>
  <si>
    <t xml:space="preserve">Closing tanggal 12 Juni 2023, Menunggu Penawaran harga dari sicame
Indokarya=9M(buang 26%)
Mega Alfa=10M(buang 16%)
Pandan Wangi=17M. Pagu 12M
</t>
  </si>
  <si>
    <t>PENGGANTIAN KABEL POWER DI WILAYAH UPT DURIKOSAMBI UIT JBB TAHUN 2023</t>
  </si>
  <si>
    <t>PT. INDEVCO GLOBAL</t>
  </si>
  <si>
    <t>Pemenang tender DCI</t>
  </si>
  <si>
    <t>EPC SUBSTATION UPGRADE WK ROKAN</t>
  </si>
  <si>
    <t>Mahakaam Jaya Sejahtera, PT</t>
  </si>
  <si>
    <t>Bukan ke PLN, Insulator porcelain dan konduktor, permintaan ke, INA &amp; ALAM, Rabu 31 Mei 2023 Kekurangan ina string set 150kV, belum ada info untuk kelanjutan, kemarin baru dapat info mengenai progres sekar putih yg kemungkinan akan kami dapatkan, 
pemenang : rekadaya elektrika</t>
  </si>
  <si>
    <t>High Volt Technology, PT</t>
  </si>
  <si>
    <t>Masih evaluasi teknik, FU Ikhbal 3 Juli 2023, tidak lolos sampul 1, yang lolos indo karya</t>
  </si>
  <si>
    <t>PEMASANGAN PROTECSI PETIR TOWER DI UPT PEKAN BARU</t>
  </si>
  <si>
    <t>PT PERSADA INDAH MUDA</t>
  </si>
  <si>
    <t>Kalah karena tidak ada end usernya di jasa</t>
  </si>
  <si>
    <t>PENGADAAN DAN PENGGANTIAN ISOLATOR POLIMER ULTG TERSEBAR</t>
  </si>
  <si>
    <t>KONSORSIUM PT. ANDEKJA PUTRA – PT. KELINCI MAS UNGGUL</t>
  </si>
  <si>
    <t>Pemenang tender Kelinci Mas, Harga biding 1,4M jadi tidak pakai harga kita</t>
  </si>
  <si>
    <t>PENGADAAN ISOLATOR TRANSMISI UIP3B KALIMANTAN</t>
  </si>
  <si>
    <t>Persada Indah Muda,Maha Daya, Iradat, Amperatech Solusindo Global,PT</t>
  </si>
  <si>
    <t xml:space="preserve">closing 14 Juli 2023, masih evaluasi </t>
  </si>
  <si>
    <t>Closing tanggal 10 Juli 2023, Drawing, Sudah pembukaan sampul 2 harga terendah iradat, pemenang iradat buang 12% pagu 2,2 masukin harga 1,936M termasuk PPN</t>
  </si>
  <si>
    <t>PENGAMANAN TRAFO DARI GANGGUAN BINATANG DI WILAYAH UPT PROBOLINGGO</t>
  </si>
  <si>
    <t>INA,PIM,KSCM,Citra Riantara,PT</t>
  </si>
  <si>
    <t>nilainya : 2,4M, bid bond 1%, dukungan bank 10%</t>
  </si>
  <si>
    <t>Closing tanggal 26 Juli 2023, Aanwijzing 12 Juli 2023</t>
  </si>
  <si>
    <t>Rekonduktoring Transmisi Garung Wonosobo</t>
  </si>
  <si>
    <t>Info dari KDL belum ada kejelasan infonnya akan diserahkan ke PLN
 dan info dari PLN asetnya ke Geodipa
Cek UIP JBT pak Djarot, FU Elektra Mega Mandiri, Mbak Laely cek ULTG Wonosobo, Rabu visit ke KDL 26 Juli 2023, Bukan KDL yang mengerjakan</t>
  </si>
  <si>
    <t>Pengadaan dan Pemasangan JUTM</t>
  </si>
  <si>
    <t>Penawaran harga sudah dikirim, pekerjaan kemungkinan Q3 tahun ini Mbak Laely FU ke pak Tur, Projectnya tidak disetujui direksi di print brosure yang baru</t>
  </si>
  <si>
    <t>PENGADAAN DRONE SISTEM TRANSMISI</t>
  </si>
  <si>
    <t>Elekrika, Gapeksindo jaya bersama, Spektrum krisindo elektrika, stal elektrika, INA</t>
  </si>
  <si>
    <t>nilainya : 2,1M, tidak pakai bid bond, dukungan bank 220jt, closing 21 Juli 2023</t>
  </si>
  <si>
    <t>Closing tanggal 21 Juli 2023, Aanwijzing 7 Juli 2023, BA sudah keluar, Tidak Lulus Sampul 1 yang lulus spektrum dan stal elektrika</t>
  </si>
  <si>
    <t>PENGADAAN PEMBANGUNAN BAY TRAFO 60 MVA</t>
  </si>
  <si>
    <t>PT. HVT,Buanareksa,LSE,Sibrama Teknik, NSU</t>
  </si>
  <si>
    <t>1. WST
2. Buanareksa
3. Ahza</t>
  </si>
  <si>
    <t>Persada Indah Muda,PT</t>
  </si>
  <si>
    <t>Lulus sampul 1, Iradat pemenang (1.935.000.000 sudah include PPN jadi buang 21%)</t>
  </si>
  <si>
    <t>PEMBANGUNAN BAY KAPASITOR 1X25 MVAR SISTEM INTERKONEKSI</t>
  </si>
  <si>
    <t>Lembah Sentral Elektronindo,PT</t>
  </si>
  <si>
    <t>Closing 2 Agustus 2023</t>
  </si>
  <si>
    <t>Pemasangan proteksi petir tower di UPT Jambi</t>
  </si>
  <si>
    <t>Tesla Daya Elektrika,PT</t>
  </si>
  <si>
    <t>Closing 31 Juli 2023, tidak jadi pemasukan tidak punya laporan keuangan 2022</t>
  </si>
  <si>
    <t>PENGADAAN DAN PEMASANGAN BAY KAPASITOR 2 X 25 MVAR DI UPT KALTIM</t>
  </si>
  <si>
    <t>Gugur di TPG</t>
  </si>
  <si>
    <t>PENGADAAN DAN PEMBANGUNAN BAY KAPASITOR 2 X 25 MVAR GI TERSAMBUNG PELANGGAN KTT</t>
  </si>
  <si>
    <t>KSO PT. Lembah Sentral Elektronindo – PT. Arlisco Elektrika Perkasa</t>
  </si>
  <si>
    <t>Distraco,PT</t>
  </si>
  <si>
    <t>Kalah di auction, pemenang indokomas</t>
  </si>
  <si>
    <t>Closing tgl 2 Agustus 2023</t>
  </si>
  <si>
    <t>Closing 2 Agustus 2023, Kalah sampul 2, Pemenang tender PT PERSADA ENGINEERING &amp; CONTRACTING
Nilai peroleh Rp.26.129.400.000,00</t>
  </si>
  <si>
    <t>Closing 2 Agustus 2023, Kalah sampul 2, Pemenang tender PT PERSADA ENGINEERING &amp; CONTRACTING Rp.12.330.000.000,00</t>
  </si>
  <si>
    <t>UPRATING KONDUKTOR MTU DI GI 150KV SITUBONDO DAN GI 150KV BANYUWANGI</t>
  </si>
  <si>
    <t>PT. CAHAYA KARYA BERSAMA</t>
  </si>
  <si>
    <t>Closing tgl 24 Agustus 2023</t>
  </si>
  <si>
    <t>Closing 24 Agustus 2023, klarifikasi sampul 1, pemenang tender mega jaya sukss utama</t>
  </si>
  <si>
    <t>PERBAIKAN PENTANAHAN BERNILAI BURUK SUTET/SUTT DI UPT PROBOLINGGO</t>
  </si>
  <si>
    <t>PT. CAHAYA KARYA BERSAMA,PIM</t>
  </si>
  <si>
    <t>Closing tgl 15 Agustus 2023</t>
  </si>
  <si>
    <t>Pemenang tender PIM pakai KAK</t>
  </si>
  <si>
    <t>Pembangunan Transmisi 150 KV Punagaya - Bataeng: Lot 1&amp;2</t>
  </si>
  <si>
    <t>Sulawesi</t>
  </si>
  <si>
    <r>
      <rPr>
        <sz val="16"/>
        <color rgb="FFFF0000"/>
        <rFont val="Calibri"/>
        <family val="2"/>
        <scheme val="minor"/>
      </rPr>
      <t>Bukaka</t>
    </r>
    <r>
      <rPr>
        <sz val="16"/>
        <color theme="1"/>
        <rFont val="Calibri"/>
        <family val="2"/>
        <scheme val="minor"/>
      </rPr>
      <t xml:space="preserve">
SGU
Indisi
Kembar Abadi
BBS
</t>
    </r>
    <r>
      <rPr>
        <sz val="16"/>
        <color rgb="FFFF0000"/>
        <rFont val="Calibri"/>
        <family val="2"/>
        <scheme val="minor"/>
      </rPr>
      <t>Reka Daya</t>
    </r>
    <r>
      <rPr>
        <sz val="16"/>
        <color theme="1"/>
        <rFont val="Calibri"/>
        <family val="2"/>
        <scheme val="minor"/>
      </rPr>
      <t xml:space="preserve">
Sangkan
Citramas
</t>
    </r>
    <r>
      <rPr>
        <sz val="16"/>
        <color rgb="FFFF0000"/>
        <rFont val="Calibri"/>
        <family val="2"/>
        <scheme val="minor"/>
      </rPr>
      <t>Percie</t>
    </r>
    <r>
      <rPr>
        <sz val="16"/>
        <color theme="1"/>
        <rFont val="Calibri"/>
        <family val="2"/>
        <scheme val="minor"/>
      </rPr>
      <t xml:space="preserve">
Bugak
QDC
Medan smart
</t>
    </r>
    <r>
      <rPr>
        <sz val="16"/>
        <color rgb="FFFF0000"/>
        <rFont val="Calibri"/>
        <family val="2"/>
        <scheme val="minor"/>
      </rPr>
      <t>LNT</t>
    </r>
    <r>
      <rPr>
        <sz val="16"/>
        <color theme="1"/>
        <rFont val="Calibri"/>
        <family val="2"/>
        <scheme val="minor"/>
      </rPr>
      <t xml:space="preserve">
Siticon
Twink
Multifab</t>
    </r>
  </si>
  <si>
    <t>penjelasan 21 Juli 2023, closing 13 September 2023</t>
  </si>
  <si>
    <t xml:space="preserve">Aanwijzing tanggal 21 Juli 2023
Persi, LNT 500kV Saja
Bukaka, Rekadaya, Indisi di FU 22 Agustus 2023
Closing tgl 18 September 2023, Bukaka pakai PLP
</t>
  </si>
  <si>
    <t>Isolator 34,5kV (3880 Set) dan 13,8kV (46 Set)</t>
  </si>
  <si>
    <t>Buana Reksa Bina Perkasa, PT</t>
  </si>
  <si>
    <t>yang diminta keramik selain india dan china Fisterer tidak produksi lagi NGK, sudah di FU tgl 21 Agustus belum ada respon dari kontraktor, pengajuan NGK</t>
  </si>
  <si>
    <t>Pembangunan Ext. GI 150 kV Sukamara (Arah Kendawangan)</t>
  </si>
  <si>
    <t>PT QDC Technologie</t>
  </si>
  <si>
    <t>Closing tgl 22 September 2023, dibawa ke ponti anak</t>
  </si>
  <si>
    <t>DESAIN, SUPLAI DAN PEMASANGAN TRANSMISI 500 KV PAITON – KALIPURO SEKSI 1,2,3,4</t>
  </si>
  <si>
    <t>l&amp;T untuk Bonomi</t>
  </si>
  <si>
    <t>Prima Power Nusantara, Berca Buana Sakti, Citramas, PT</t>
  </si>
  <si>
    <t>Hanya mendukung L&amp;T, Closing tgl 13 Juli 2023 Hanya mendukung L&amp;T, mundur lagi ke 16 Oktober 2023</t>
  </si>
  <si>
    <t>PENGGANTIAN INSULATOR TOWER SUTT DAN PEMASANGAN SPACER PENGAPIT MIDSPAN JOINT CONDUCTOR SUTET 500 KV BALARAJA - KEMBANGAN DALAM RANGKA PENINGKATAN KEANDALAN SALURAN TRANSMISI DI WILAYAH UIT JBB LINGKUP SISTEM PERLINDUNGAN PETIR DI UPT DURIKOSAMBI TAHUN 2023</t>
  </si>
  <si>
    <t>Closing tgl 10 Oktober 2023, mundur harganya tidak masuk</t>
  </si>
  <si>
    <t>PENGADAAN ISOLATOR POLYMER 120 KN UNTUK SUTT 150 KV RAWALO - PLTU 1,2 + KALIBAKAL - PLTU + RAWALO - STARA T.23-50 SERTA PENGADAAN DAN JASA PENGGANTIAN DOUBLE STRING SET SERTA ISOLATOR 120 KN UNTUK SUTT 150 KV RAWALO - PLTU 1,2 + KALIBAKAL - PLTU + RAWALO - STARA T.23-50</t>
  </si>
  <si>
    <t>PT. PLN UPT Purwokwerto</t>
  </si>
  <si>
    <t>PENGADAAN DAN JASA PENGGANTIAN EARTH WIRE AS 70mm2 SUTT 150Kv KESUGIHAN – LOMANIS – STARA T.17A, 21A, 21B, 18-67B, GANTRY 1, GANTRY 2, GANTRY KESUGIHAN</t>
  </si>
  <si>
    <t>PEMBANGUNAN EXT 2 LINE BAY GI 150 KV JAMPANG KULON/PELABUHAN RATU BARU</t>
  </si>
  <si>
    <t>Closing tgl 16 Oktober 2023</t>
  </si>
  <si>
    <t>Pembuatan Gudang di wilayah UIT JBB</t>
  </si>
  <si>
    <t>KSO Mega Alfarizki - INA</t>
  </si>
  <si>
    <t xml:space="preserve">Aanwijzing 16 Oktober, Menunggu BA </t>
  </si>
  <si>
    <t>Pekerjaan ME PLTA WADO 50 MW - Transmisi</t>
  </si>
  <si>
    <t>PT WASKITA KARYA (Persero), Tbk.</t>
  </si>
  <si>
    <t>Pengumpulan data dan administrasi sudah masuk ke PLN tgl 5 Juni 2023 sementara pekerjaan dipending info dari PLN</t>
  </si>
  <si>
    <t xml:space="preserve">Fu lagi hari jumat </t>
  </si>
  <si>
    <t>Euis&amp;Ilham</t>
  </si>
  <si>
    <t>Pekerjaan ME PLTA WADO 50 MW - Gardu Induk</t>
  </si>
  <si>
    <t>Ibu&amp;Nabil</t>
  </si>
  <si>
    <t xml:space="preserve">Pembangunan 4 LB, 1BC, 1CB,1TB Relokasi Trafo 30MVA GI Batulicin Baru dan Pekerjaan Pembangunan SUTT Incomer 150kV Batulicin Baru dan Re-route SUTT 150kV Batulicin – Kota Baru </t>
  </si>
  <si>
    <t>PT. Buanareksa Binaperkasa, KSO WST - Distraco</t>
  </si>
  <si>
    <t>Tidak lolos, yang lolos Jampah</t>
  </si>
  <si>
    <t>REKONDUKTORING SUTT 150KV BANARAN – MOJOAGUNG (UPRATING 2 LINE BAY GI MOJOAGUNG ARAH KEDIRI 1,2)</t>
  </si>
  <si>
    <t>PT. BINABUANA SEWAKA, PT. MAHADAYA SAKTI TEKNIK</t>
  </si>
  <si>
    <t>Kalah Tender
Hasta praja 43M Section 1
Sangkan 45M Section 2
Sangkan 35M Section 3</t>
  </si>
  <si>
    <t>Kalah tender sampul 2</t>
  </si>
  <si>
    <t>Pengadaan dan Pemasangan CT 150 kV Tanjung Awar-Awar Tahap 2</t>
  </si>
  <si>
    <t>PT. BINABUANA SEWAKA, PT. Global Twin Star</t>
  </si>
  <si>
    <t>GTS Menang tapi gak pakai PLP</t>
  </si>
  <si>
    <t>Pemenang Tender GTS</t>
  </si>
  <si>
    <t>PEMBANGUNAN TRANSMISI 500 KV WARU – KRIAN</t>
  </si>
  <si>
    <t>PT. REKADAYA</t>
  </si>
  <si>
    <t>sudah minta duluan ke bonomi</t>
  </si>
  <si>
    <t>Closing 28 November 2023,</t>
  </si>
  <si>
    <t>Penggantian CB, CT dan DS Pengadaan Open Book 2021 UIT JBB Tahap 8 Dalam Rangka Penggantian dan Penyempurnaan Peralatan Instalasi di Wilayah UIT JBB - UPT Durikosambi Tahun 2023</t>
  </si>
  <si>
    <t>PT. Indevco Global</t>
  </si>
  <si>
    <t>Kalah harga yg menang prima power</t>
  </si>
  <si>
    <t>Closing 31 Oktober 2023, Lolos sampul 1 yg lolos ada 6
Prima Power
Amsak
Bangun mega pertiwi
Andika Energindo
Indevco
Luminto
Pembukaan sampul tgl 16 Nov</t>
  </si>
  <si>
    <t>Pekerjaan Pembangunan SUTT 150 kV Kolaka – Pomalaa Switching – Pelanggan PT Antam    Pomalaa</t>
  </si>
  <si>
    <t>PT. KENCANA ALAM PUTRA</t>
  </si>
  <si>
    <t>tender gagal</t>
  </si>
  <si>
    <t>Closing 6 Nov</t>
  </si>
  <si>
    <t>PEKERJAAN PEMBANGUNAN GI 150 KV KOLAKA (EXTENSION)</t>
  </si>
  <si>
    <t>KSO Kencana Alam - Buanareksa</t>
  </si>
  <si>
    <t>PEMBANGUNAN GI 150KV POMALAA SWITCHING (NEW)</t>
  </si>
  <si>
    <t>Renovasi Pagar Gardu Induk di UPT Madiun sebagai pendukung K3L</t>
  </si>
  <si>
    <t>HPS 9,1 M</t>
  </si>
  <si>
    <t>KSO Indodaya Narata Abadi - Mega Alfarizki</t>
  </si>
  <si>
    <t>ada 6 peserta yg masukan 5: Cakra, Guntur, Tekad, CKB, Jaya Laksana Sejahtera</t>
  </si>
  <si>
    <t>Closing tgl 28 Nov</t>
  </si>
  <si>
    <t>UPRATING 2 LINE BAY GI 150 KV UJUNGBERUNG LAMA</t>
  </si>
  <si>
    <t>PT. MEGA POWER TEKNINDO, PT. KENCANA ALAM PUTRA, PT. Krakatau Daya Listrik</t>
  </si>
  <si>
    <t>Evaluasi sampul 1
KDL dinyatakan lengkap</t>
  </si>
  <si>
    <t>Pemenang Elsewedy</t>
  </si>
  <si>
    <t>Jumper SUTT Surabaya Barat-Tandes dan SUTT Tandes-Darmogrand sehingga menjadi SUTT Surabaya Barat-Darmogrand</t>
  </si>
  <si>
    <t>PT. BINABUANA SEWAKA</t>
  </si>
  <si>
    <t>Closing 20 November</t>
  </si>
  <si>
    <t>Closing 20 Nov, Pemenang tender Permata Jaya Teknik</t>
  </si>
  <si>
    <t>PERKUATAN GITET KRIAN UNTUK MITIGASI INTERIM PASOKAN KTT PT BKMS (PERKUATAN KONDUKTOR DAN PENGGANTIAN KLEM DI GI SURABAYA BARAT)</t>
  </si>
  <si>
    <t>PT. MAHAKAAM JAYA SEJAHTERA</t>
  </si>
  <si>
    <t>Closing 29 November</t>
  </si>
  <si>
    <t>Mundur tidak dikasih dukungan alat uji</t>
  </si>
  <si>
    <t>PENGADAAN BARANG DAN JASA KONSTRUKSI GITET 500 KV KRIAN EXTENSION</t>
  </si>
  <si>
    <t>PT MAHAKAAM JAYASEJAHTERA, PT Mega Power Teknindo</t>
  </si>
  <si>
    <t>Closing tgl 29 November</t>
  </si>
  <si>
    <t>Closing tgl 23 Oktober 2023, tunggu pengumuman sampul 1 11 Desember 2023, Tidak Lolos Sampul 1 yg Lolos Wijati dan Hasta Prajatama</t>
  </si>
  <si>
    <t>Closing 12 Desember, masih evaluasi sampul 1
INA Kalah
Pemenang tender DML
Trisco Kalah</t>
  </si>
  <si>
    <t>Wika kalah yg Lolos 
HITACHI
Indokomas
Twink</t>
  </si>
  <si>
    <t>Closing 22 November 2023, Sudah ttd kontrak</t>
  </si>
  <si>
    <t>Closing 15 Desember, Tidak lolos sampul 1, yang lolos CME, Indokomas, Hasta Karya perdana</t>
  </si>
  <si>
    <t>Kalah yg menang Guntur</t>
  </si>
  <si>
    <t>UPT Madiun</t>
  </si>
  <si>
    <t>PT. Global Twin Star, Mahadaya Sakti Teknik</t>
  </si>
  <si>
    <t>Closing 15 Januari 2024, tender gagal, tidak ada yang memasukan tender</t>
  </si>
  <si>
    <t>Closing 2 Agustus 2023, pembukaan sampul 1, belum ada keputusan dari medco, FU tgl 11 Desember, FU lagi 22/23 Jan</t>
  </si>
  <si>
    <t>PEKERJAAN PEMBANGUNAN GARDU INDUK 150KV KOLAKA (EXTENSION)</t>
  </si>
  <si>
    <t>pemenang dipa jaya</t>
  </si>
  <si>
    <t>Pemenang tender belum ttd kontrak, terakhir FU 15 Jan 2024, Minggu ini kunjungan ke kontraktor hasil kunjungan mereka menggunakan KAK karna permintaan atas PLN dan PLP ada Hotspot di GIS gn sari, Info terakhir minta harga Post Insulator, selisih harga KAK sekitar 10 - 20%</t>
  </si>
  <si>
    <t>Tidak ada pembelian apapun menggunakan stok</t>
  </si>
  <si>
    <t>Pemenang Tender, Menunggu PO &amp; approval drawing dari kontraktor, baru ttd kontrak 20 Nov 2023, update tgl 15 Jan info dari GTS pakai eksisting, Info dari UPT Semarang pakai PLP, PLN sudah approval FU kontraktor terakhir 15 Feb, material clamp pakai ready stock dari PLN</t>
  </si>
  <si>
    <t>Tender ulang semua sudah disubmit ulang, FU 26 Feb</t>
  </si>
  <si>
    <t>Tender ulang semua sudah disubmit ulang, , FU 26 Feb</t>
  </si>
  <si>
    <t>Closing 8 January 2024, blm ada info masih tahap evaluasi FU 22 Feb 2024 FU kembali tgl 1 Mar, Gugur sampul 1, PLP mendukung hasta praja</t>
  </si>
  <si>
    <t>PENGGANTIAN DAN PERBAIKAN SARANA PENGAMAN TERSEBAR</t>
  </si>
  <si>
    <t>KSO Dengan Masatek Pendaftaran 19 - 21 Feb 2024, Penjelasan 28 - 1 Maret, Closing 21 Maret,</t>
  </si>
  <si>
    <t>10 Titik KSO dengan Mahadaya Aanwijzing 28 - 1 Mar, rencana INA hnya ngesub  saja jika mahadaya menang</t>
  </si>
  <si>
    <t>PEMBANGUNAN SUTT 150kV PLTMG MANOKWARI - GI MANOKWARI</t>
  </si>
  <si>
    <t>Christy Manunggal</t>
  </si>
  <si>
    <t>Insulator untuk sementara GIG dan Dalian, approval sudah keluar mei/juni. 210 QTY 720ready
120 QTY 7452 menunggu lead time PLP Pakai Suchou</t>
  </si>
  <si>
    <t>PENINGGIAN ANDONGAN SUTT 150 KV WILAYAH UPT SALATIGA</t>
  </si>
  <si>
    <t>PT. Mega Alfarizki</t>
  </si>
  <si>
    <t>Pemenang iradat</t>
  </si>
  <si>
    <t>PEKERJAAN KONTRUKSI UNTUK PEMBANGUNAN EXT. TRAFO DAYA 1X60 MVA GIS 150 KV GLUGUR</t>
  </si>
  <si>
    <t>tidak memasukan dukungan pabrikan utama</t>
  </si>
  <si>
    <t>Terakhir pemasukan penawaran 28 Feb, FU tgl 14 Mar</t>
  </si>
  <si>
    <t>PT. Mega Power</t>
  </si>
  <si>
    <t>Menggunakan Sandong</t>
  </si>
  <si>
    <t>Mega Power menang, kami masih blm evaluasi vendor2 yg mendukung kunjungan 20 Mar</t>
  </si>
  <si>
    <t>PENGADAAN DAN PENGGANTIAN TRAFO EARTHING 4R1 GITET UNGARAN</t>
  </si>
  <si>
    <t>masih pembukaan dan evaluasi sampul 1</t>
  </si>
  <si>
    <t>JASA PENGGANTIAN KAWAT PETIR ACSR SKUNK PADA SUTT 150 KV PINAYUNGAN – TEGALHERANG DAN SUTT 150 KV GANDAMEKAR – TAMBUN</t>
  </si>
  <si>
    <t>PT. Duta Cakrawala Indonesia, Tuban Jaya Mandiri</t>
  </si>
  <si>
    <t>Gagal tidak dimasukan ke Eproc</t>
  </si>
  <si>
    <t>Upload tgl 20 Maret 2024</t>
  </si>
  <si>
    <t>Terakhir pemasukan 17 Maret 2024</t>
  </si>
  <si>
    <t xml:space="preserve">PEMBANGUNAN GARDU INDUK 150 KV SIAK SRI INDRAPURA EXT 2 LINE BAY </t>
  </si>
  <si>
    <t>Sapta Guna Utama</t>
  </si>
  <si>
    <t>tidak menggunakan PLP jadinya pakai sicame Harga PLP lebih mahal 3x lipat dari sicame</t>
  </si>
  <si>
    <t>Closing 12 Maret 2024</t>
  </si>
  <si>
    <t>Terakhir pemasukan 12 Maret 2024</t>
  </si>
  <si>
    <t>PENGADAAN MATERIAL OPERASIONAL PEMELIHARAAN UPT SEMARANG TAHUN 2024</t>
  </si>
  <si>
    <t>Closing 20 Maret</t>
  </si>
  <si>
    <t>Penawaran 1.445.227.560 sudah include 2% diminta di point 1.120.000.000 sebelum PPN (22,5%)</t>
  </si>
  <si>
    <t>PT. Purnama Indonesia</t>
  </si>
  <si>
    <t>Material pakai KAK</t>
  </si>
  <si>
    <t>minta discount final PLP</t>
  </si>
  <si>
    <t>PENGGANTIAN MIDSPAN JOINT DAN DEAD END UNTUK PENANGANAN HOTSPOT</t>
  </si>
  <si>
    <t>PT. Persada Indah Muda</t>
  </si>
  <si>
    <t>Closing tgl 10 Maret 2024, masih pembukaan dan evaluasi sampul 1, Pemenang tender pandan wangi</t>
  </si>
  <si>
    <t>JASA PENGGANTIAN STRINGSET DAN ISOLATOR KOROSIF BUSBAR A dan BUSBAR B 70 KV GI CIGERELENG</t>
  </si>
  <si>
    <t>Closing 29 April 2024</t>
  </si>
  <si>
    <t>UPT Bandung</t>
  </si>
  <si>
    <t>KSO Masatek - INA Closing 29 April 2024</t>
  </si>
  <si>
    <t>Mahadaya telat daftar</t>
  </si>
  <si>
    <t>TENDER PENGADAAN ULANG MESIN KECIL LAINNYA (TELEVISI, COFFE MAKER, MESIN TIK LISTRIK, MESIN RACIK, LEMARI ES) UNTUK KPWDN DAN KP MELALUI E CATALOGUE</t>
  </si>
  <si>
    <t>Bank Indonesia</t>
  </si>
  <si>
    <t>Belum ada update dari E proc</t>
  </si>
  <si>
    <t xml:space="preserve">closing senin tgl 25 jam 4 asli bidbond terakhir tgl 25 jam 10, tender harus selesai 22 jam 12 </t>
  </si>
  <si>
    <t>Tidak Lulus sampul 1 merk TV tidak sesuai</t>
  </si>
  <si>
    <t>PENGADAAN DAN PENGGANTIAN KABEL KONTROL DI UPT MADIUN</t>
  </si>
  <si>
    <t>UPT Semarang Penggantian Isolator Polymer</t>
  </si>
  <si>
    <t>Indodaya Naratama Abadi, PT</t>
  </si>
  <si>
    <t>QTY 48</t>
  </si>
  <si>
    <t>PEMASANGAN EXTENSION 1 BAY TRAFO 150/20KV TULUNGAGUNG II</t>
  </si>
  <si>
    <t>PT. GTS, Masatek, PIM (PIM tdk masukan)</t>
  </si>
  <si>
    <t>Pemenang WST nilai 9,292 M Masatek 9,33 M GTS 10,7 M</t>
  </si>
  <si>
    <t>Closing 27 Maret 2024</t>
  </si>
  <si>
    <t>Pemasukan tgl 3 April</t>
  </si>
  <si>
    <t>Renovasi Pagar Gardu Induk di UPT Bali Seabagai Pendukung K3L</t>
  </si>
  <si>
    <t>Closing 3 Mei</t>
  </si>
  <si>
    <t>KSO Sastra Mas - Indodaya Naratama Abadi</t>
  </si>
  <si>
    <t>PENGADAAN ALAT UJI TERSEBAR (BREAKER ANALYZER, CB COIL TESTER, TANGEN DELTA)</t>
  </si>
  <si>
    <t>PENGGANTIAN STRING SET &amp; ISOLATOR TOWER SUTT 70 KV SUNYARAGI - KUNINGAN T.1-93</t>
  </si>
  <si>
    <t>PENGGANTIAN STRING SET &amp; ISOLATOR TOWER SUTT 150 KV MANDIRANCA - NEW ARJAWINANGUN</t>
  </si>
  <si>
    <t>PENGGANTIAN STRING SET &amp; ISOLATOR TOWER SUTT 70 KV SUNYARAGI-ARJAWINANGUN T.1-85</t>
  </si>
  <si>
    <t>PENGGANTIAN STRING SET &amp; ISOLATOR TOWER SUTT 150KV BANJAR-CIAMIS T.1-75</t>
  </si>
  <si>
    <t>PENGGANTIAN STRING SET &amp; ISOLATOR TOWER SUTT 150KV BANJAR-MAJENANG T.2-26 DAN PENGGANTIAN STRING SET &amp; ISOLATOR TOWER SUTT 70 KV TASIKMALAYA-MALANGBONG T63-123</t>
  </si>
  <si>
    <t xml:space="preserve">PEMBUATAN GUDANG TERBUKA TERBUKA GITET MADILANCAN </t>
  </si>
  <si>
    <t>Pemenang hydro techno utama 1.625.309.393</t>
  </si>
  <si>
    <t>UPT CIREBON</t>
  </si>
  <si>
    <t>KSO Mahadaya</t>
  </si>
  <si>
    <t>Migrasi Unit Bisnis Pembangkitan (UBP) Suralaya Unit 3 Dari 500 kV Ke 150 kV"_Insulator and Post Insulator</t>
  </si>
  <si>
    <t>Hanya mengajukan handal &amp; zibo. Penawaran terakhir kita 1.545 M tetangga 1.445 M</t>
  </si>
  <si>
    <t>Closing tgl 6 Mei 2024, Fitting 2 merk PLP &amp; Sandong FU ke HVT 30 April</t>
  </si>
  <si>
    <t xml:space="preserve">Pemasukan tgl 3 April, </t>
  </si>
  <si>
    <t>PEMBUATAN PAGAR KELILING UPT CIREBON</t>
  </si>
  <si>
    <t>KSO dengan CDU, CDU tdk punya SBUJK
KSO dengan Mega tdk punya pengalaman</t>
  </si>
  <si>
    <t>PEMBUATAN GUDANG TERBUKA BERATAP ULTG WONOSOBO</t>
  </si>
  <si>
    <t>UPT Purwokerto</t>
  </si>
  <si>
    <t xml:space="preserve">Tower Emergency </t>
  </si>
  <si>
    <t>FU 30 Jan 2024, Kapan kebutuhannya FU Pak Anggara Renev Karawang FU Pak Dedy</t>
  </si>
  <si>
    <t>PENGADAAN DAN PEMASANGAN PROTEKSI KEBAKARAN</t>
  </si>
  <si>
    <t>PENGADAAN DAN PENGGANTIAN RELAY BREAKER ABSOLUT DI GIS 150 KV SIMPANG LIMA</t>
  </si>
  <si>
    <t>PENAMBAHAN INSTALASI HYDRANT GITET MADILANCAN DAN GITET TASIKMALAYA</t>
  </si>
  <si>
    <t xml:space="preserve">JASA PENGGANTIAN KUBIKEL INCOMING </t>
  </si>
  <si>
    <t>PEMBUATAN DAK KABEL DAN PENGGANTIAN KABEL ARUS INPUTAN BUSPRO GI RAWALO</t>
  </si>
  <si>
    <t>PENINGGIAN PAGAR KELILING GITET 500 KV PEMALANG</t>
  </si>
  <si>
    <t>PENGADAAN PEMASANGAN SISTEM HYDRANT FOAM</t>
  </si>
  <si>
    <t>JASA PENGGANTIAN STRINGSET DAN ISOLATOR KOROSIF SUTT 70KV LAMAJAN – SANTOSA – SUMADRA T.40-52, 70-79</t>
  </si>
  <si>
    <t>tidak lolos sampul 1 karna pabrikan lain</t>
  </si>
  <si>
    <t>Closing tgl 22 April 2024</t>
  </si>
  <si>
    <t>Closing 22 April, 30 April klarifikasi sampul 1</t>
  </si>
  <si>
    <t>JASA PEMASANGAN MULTI DIRECK GROUNDING DAN COUNTER POISE WILAYAH UPT DURI KOSAMBI</t>
  </si>
  <si>
    <t>FU Mbak laely</t>
  </si>
  <si>
    <t>UIT JBB UPT Durkos</t>
  </si>
  <si>
    <t>info : punya tesla metode pekerjaan pakai IGSW, diliris menunggu dari pulogadung dan dari plgd dari RAB</t>
  </si>
  <si>
    <t>belum keluar yang sudah ada penggantian pagar keliling, Trafo, Hydrant</t>
  </si>
  <si>
    <t xml:space="preserve">PENANGANAN PERBAIKAN GROUNDING DAN PENINGGIAN ANDONGAN </t>
  </si>
  <si>
    <t>JBTB, CDU &amp; PIM Gugur sampul 1, Lulus Tridasa</t>
  </si>
  <si>
    <t>KSO PT. MARDIKA SARANA ENGINEERING DAN PT. PERSADA INDAH MUDA, Cipta Daya Utama</t>
  </si>
  <si>
    <t>Closing 29 April</t>
  </si>
  <si>
    <t>Closing 29 April, masih tahap evaluasi admin dan teknik</t>
  </si>
  <si>
    <t>PENGADAAN STRING SET EARTH WIRE AS 70 MM2 DAN JASA PENGGANTIAN STRING SET SERTA EARTH WIRE SUTT 150 KV PEKALONGAN - COMAL 1,2 T. GANTRY-001-034;034A</t>
  </si>
  <si>
    <t>Gagal Sampul 1 gagal di pengalaman sejenisnya</t>
  </si>
  <si>
    <t>KSO Masatek - INA</t>
  </si>
  <si>
    <t>Closing tgl 17 Mei</t>
  </si>
  <si>
    <t>Closing 17 Mei, FU kembali 27 Mei</t>
  </si>
  <si>
    <t>JASA PENGGANTIANA EARTH WIRE SUTT 150 KV KRAPIAK - RANDUGARUT - KALIWUNGU - TAMBAKLOROK - SAYUNG T.24 - T. 37 GANTRY DAN SUTET 500KV UNGARAN - PEMALANG LINE 2 T. 421-458, UNGARAN-PEMALANG LINE 1 T.408-453 GANTRY</t>
  </si>
  <si>
    <t>KSO INA - CDU</t>
  </si>
  <si>
    <t xml:space="preserve">cPemenang pertama : 
PWS 3.995.584.680,00
INA : 4.611.083.200,00
</t>
  </si>
  <si>
    <t>PENGADAAN DAN JASA PENGGANTIAN STRING SET SERTA ISOLATOR 120 KN UNTUK SUTT 150 KV KEBUMEN-GOMBONG 1,2 T.64 B - 127</t>
  </si>
  <si>
    <t>PT, Cipta Daya Utama</t>
  </si>
  <si>
    <t>Closing 17 Mei, 
CDU  : 4.628.259.300,00
Pemenang tender PWS :  3.195.409.000,00</t>
  </si>
  <si>
    <t>Pengadaan dan Penggantian Reaktor 66 kV 4R2 GITET Bandung Selatan</t>
  </si>
  <si>
    <t>PT. Kencana Alam Putra</t>
  </si>
  <si>
    <t>Closing tgl 30 Mei</t>
  </si>
  <si>
    <t>Tidak jadi ikut pemasukan peralatan reaktor</t>
  </si>
  <si>
    <t>PERBAIKAN GROUNDING DI UPT BALI</t>
  </si>
  <si>
    <t>PLN JBTB</t>
  </si>
  <si>
    <t>PT. Mulya Jatra, PT. BINABUANA SEWAKA</t>
  </si>
  <si>
    <t>Closing tgl 29 harga dapet tgl 31 Mei</t>
  </si>
  <si>
    <t>PENGGANTIAN STRINGSET KONDUKTOR KOROSI SUTT 150KV TAMBAKLOROK KRAKPIAK KALISARI</t>
  </si>
  <si>
    <t>Closing tgl 23 FU insulator pakai merk kensaki tidak jadi</t>
  </si>
  <si>
    <t>Klarifikasi sampul 1, FU lagi 20 Mei, stringset tidak pakai PLP</t>
  </si>
  <si>
    <t>PELEBARAN GUDANG ATTB UPT CIREBON</t>
  </si>
  <si>
    <t>PEMBANGUNAN SUTT 150 KV MATARAM – MANTANG</t>
  </si>
  <si>
    <t>KSO PT. PURNAMA INDONESIA – PT. NIAGAMAS SETIAUSAHA, PT. Kencana Alam</t>
  </si>
  <si>
    <t>Closing 20 Mei, sudah pembukaan sampul 2 pemenang indisi</t>
  </si>
  <si>
    <t>PEMBANGUNAN TOWER RE-ROUTE T.97 SUTT 150 KV EMPANG – DOMPU</t>
  </si>
  <si>
    <t>PT. MAHADAYA SAKTI TEKNIK</t>
  </si>
  <si>
    <t>Closing 3 Juni</t>
  </si>
  <si>
    <t>PENGADAAN KESEPAKATAN HARGA SATUAN (KHS) PAKET 1
TANGGA LOT.1 TANGGA FIBER 12 M DAN 9,6 M TAHUN 2024</t>
  </si>
  <si>
    <t>Closing 6 Juni</t>
  </si>
  <si>
    <t>PENGADAAN DAN PEMASANGAN PERALATAN BACK UP SUPPLY DATA</t>
  </si>
  <si>
    <t>tidak lolos sampul 1, Tridasa</t>
  </si>
  <si>
    <t>UIT JBB Gandul</t>
  </si>
  <si>
    <t>KSO Masatek - INA Closing 17 Mei</t>
  </si>
  <si>
    <t>Aanwijzing 23 April, Closing 8 Mei, cek lagi 8 Juni</t>
  </si>
  <si>
    <t>JASA PENGGANTIAN ISOLATOR BERIKUT STRINGSETNYA KOROSIF SERANDANG SWITCHYARD 150 KV GI FAJAR SURYA WISESA</t>
  </si>
  <si>
    <t>Closing tgl 30 Mei, tidak lolos</t>
  </si>
  <si>
    <t>PEKERJAAN PERBAIKAN ANOMALI JARINGAN DI UPT BANDUNG TAHUN 2024</t>
  </si>
  <si>
    <t>Closing tgl 29 Mei, Klah</t>
  </si>
  <si>
    <t>Jasa Penggantian MTU Terpusat 500 kV, 150 kV dan 70 kV di Wilayah UPT Semarang Tahun 2024</t>
  </si>
  <si>
    <t>PT. INA (Supporting)</t>
  </si>
  <si>
    <t>Closing 13 Juni</t>
  </si>
  <si>
    <t>PENGADAAN KHS PAKET 9 LOT. 1; FULL BODY HARNESS TIPE 1, HELM SAFETY TIPE 2, DAN KACAMATA SAFETY TIPE 1 TAHUN 2024</t>
  </si>
  <si>
    <t>Closing 21 Juni, aanwijzing 13 juni</t>
  </si>
  <si>
    <t>PENGADAAN KESEPAKATAN HARGA SATUAN (KHS) PAKET 5 ALAT UKUR LOT.2 (INSULATION TESTER, EARTH TESTER, TANG AMPERE) TAHUN 2024</t>
  </si>
  <si>
    <t>Closing 20 Juni, aanwijzing 12 juni</t>
  </si>
  <si>
    <t xml:space="preserve">PENGADAAN KESEPAKATAN HARGA SATUAN (KHS) PAKET 5 ALAT UKUR LOT.1 (TANG AMPERE 1 PHASA DAN PHASE SEQUENCE) TAHUN 2024 </t>
  </si>
  <si>
    <t>PENGADAAN KHS PAKET 22 LOT.1; TOOLSET TAHUN 2024</t>
  </si>
  <si>
    <t>Closing 24 Juni, Aanwijzing 14 juni</t>
  </si>
  <si>
    <t>RELOKASI TOWER KRITIS T50 SUTT 150 KV KALIBAKAL BUMI AYU</t>
  </si>
  <si>
    <t>PENGGANTIAN STRINGSET DAN GSW KOROSIF SUTT 70 kV UJUNG BERUNG - SUMEDANG</t>
  </si>
  <si>
    <t>6 Mei Lulus sampul 1</t>
  </si>
  <si>
    <t>Closing tgl 3 April</t>
  </si>
  <si>
    <t>Pemasukan tgl 3 April, Tahap klarifikasi, tidak menggunakan PLP, Mbak laely FU kenapa dan berapa harga penawaran tetangga, Jumat 14 Juni kunjungan ke kontraktor</t>
  </si>
  <si>
    <t>PENGGANTIAN GSW TRANSMISI OBSOLETE</t>
  </si>
  <si>
    <t>UPT Manado</t>
  </si>
  <si>
    <t>Closing 16 Mei, tidak ada yang lolos sampuul 1, lihat di eproc HPS dan siapa saja kontraktornya</t>
  </si>
  <si>
    <t>JASA PENGGANTIAN STRINGSET DAN ISOLATOR KOROSIF SUTT 150KV CIGERELENG – LAGADAR T.01-24, 27-42</t>
  </si>
  <si>
    <t xml:space="preserve">KONSORSIUM PT. GLOBAL TWIN STAR DAN PT. CAHAYA KARYA BERSAMA </t>
  </si>
  <si>
    <t>pemenang mandiri cipta perkasa utama 10.170.000.000</t>
  </si>
  <si>
    <t>Pengadaan dan Penggantian Trafo 150 kV Kondisi Buruk di Wilayah UITJBB Lingkup Penggantian Trafo Wilayah ULTG Cawang di UPT Cawang</t>
  </si>
  <si>
    <t>Konsorsium KSCM - INA</t>
  </si>
  <si>
    <t>Closing 27 Juni
Indevco, KPG</t>
  </si>
  <si>
    <t>PEKERJAAN PEMBANGUNAN EXTENSION 2 LINE BAY GI 150 KV MALOY ARAH GI 150 KV TALISAYAN</t>
  </si>
  <si>
    <t>Balikpapan</t>
  </si>
  <si>
    <t>Closing tgl 10 Juni, Amsak yg menang</t>
  </si>
  <si>
    <t xml:space="preserve">PEKERJAAN EXTENSION BAY TRAFO PAKET 1 DI GI 150 KV TAMAN MEKAR, GI 150 KV MARGAKARYA DAN GI 150 KV DELTAMAS </t>
  </si>
  <si>
    <t>PT. Sapta Guna Utama</t>
  </si>
  <si>
    <t>di fu 21 Juni, kalah sampul 1 pemang indokarya</t>
  </si>
  <si>
    <t>Pengadaan dan Penggantian OPGW beserta Stringset SUTET 500kV Pedan-Kesugihan Line 2 T.444-460</t>
  </si>
  <si>
    <t>Closing 19 Juni, tdk lolos sampul 1</t>
  </si>
  <si>
    <t>REKONDUKTORING SUTT 150KV BANGIL – BULUKANDANG DAN UPR LB TERKAIT (UPRATING 2 LB BANGIL BULUKANDANG DI GI 150KV LAWANG)</t>
  </si>
  <si>
    <t>PT. Binabuana Sewaka</t>
  </si>
  <si>
    <t>Closing 3 Juli, tdk lolos sampul 1</t>
  </si>
  <si>
    <t>PENGADAAN DAN PEMELIHARAAN MEDIA TABLET DAN PRINTER
CAPACITY PLANNING END USER DEVICE TAHUN ANGGARAN 2024-2025</t>
  </si>
  <si>
    <t>sdh mengajukan btl tender (penguduran) tdk dpt dari principal</t>
  </si>
  <si>
    <t>Closing tgl 15 Jul, Bidbond 1,5%, 157jt</t>
  </si>
  <si>
    <t>PENGADAAN KESEPAKATAN HARGA SATUAN (KHS) PAKET 9 FULL BODY HARNESS, HELM DAN KACAMATA SAFETY LOT.2 TAHUN 2024</t>
  </si>
  <si>
    <t>evaluasi sampul 1 15 Jul</t>
  </si>
  <si>
    <t>PENGGANTIAN GSW KRITIS DI UIT JBB LINGKUP PENGGANTIAN GSW KRITIS DI UPT DURIKOSAMBI TAHUN 2024</t>
  </si>
  <si>
    <t>PT. Tuban Jaya Mandiri</t>
  </si>
  <si>
    <t>Closing tgl 8 Juli, harga tidak pakai kita</t>
  </si>
  <si>
    <t>JASA PENANGANAN ANOMALI DAN TINDAK LANJUT GANGGUAN INDUK WILAYAH UPT PURWOKERTO TAHUN 2024 – 2025</t>
  </si>
  <si>
    <t>PT, Mega Alfarizki</t>
  </si>
  <si>
    <t>Closing tgl 2 Juli, lolos sampul 1, retender</t>
  </si>
  <si>
    <t>KHS  Pengadaan Industrial Modem 4G Router</t>
  </si>
  <si>
    <t>PLN Distribusi Jabar</t>
  </si>
  <si>
    <t>Pagu 5.820.618</t>
  </si>
  <si>
    <t>Insulator UPK 3 Babel</t>
  </si>
  <si>
    <t>PLN Babel</t>
  </si>
  <si>
    <t>kalah harga pemenang jaya sakti elektrindo</t>
  </si>
  <si>
    <t>Thermovisi</t>
  </si>
  <si>
    <t xml:space="preserve">Aanwizjing tgl 29, </t>
  </si>
  <si>
    <t>UPS Malang</t>
  </si>
  <si>
    <t>Aanwizjing tgl 30</t>
  </si>
  <si>
    <t>UPS Sumbar</t>
  </si>
  <si>
    <t>PENGADAAN DAN PEMASANGAN CAPASITOR BANK LOKASI PT PLN UP3 PEKANBARU TERSEBAR</t>
  </si>
  <si>
    <t xml:space="preserve">PEMBANGUNAN TL 150 KV DUMAI – LUBUK GAUNG </t>
  </si>
  <si>
    <t>harga dari AI (4.159.763.670)
Hrga dari sicame (4.229.175.800</t>
  </si>
  <si>
    <t>Closing 13 Agustus 2024, dihentikan</t>
  </si>
  <si>
    <t>PENANGANAN TOWER ROW KRITIS SUTT 150KV SAMBIKEREP – WARU T.25 DAN T.26</t>
  </si>
  <si>
    <t>Closing 29 July, evaluasi sampul 1, tdk dapat dukungan corona ring</t>
  </si>
  <si>
    <t>PENANGANAN DEFORMASI TOWER SERTA PENGADAAN DAN PEMASANGAN SPLICE SHUNT DAN SPACER</t>
  </si>
  <si>
    <t>pemenang DCI</t>
  </si>
  <si>
    <t>JASA PENGGANTIAN MTU KRITIS 70 KV DAN 150 KV TERSEBAR DI UPT MADIUN</t>
  </si>
  <si>
    <t>PT. GLOBAL TWIN STAR</t>
  </si>
  <si>
    <t>Closing 29 July, evaluasi sampul 1, klaha harga pemenang PT Garda</t>
  </si>
  <si>
    <t>PENGADAAN MATERIAL RADIO KOMUNIKASI</t>
  </si>
  <si>
    <t>614.879.500 (HPS)</t>
  </si>
  <si>
    <t>sdh upload dok. Pembukaan tgl 14 kalah yg menang radius kalah penawaran harga</t>
  </si>
  <si>
    <t>EPC LIBO SUBSTATION DAN LV EQUIPMENT</t>
  </si>
  <si>
    <t>PT. Supraco Indonesia, PT. Twink Indonesia</t>
  </si>
  <si>
    <t>Closing tgl 22 Juli, kalah pemenang indokomas</t>
  </si>
  <si>
    <t>Manajemen Spare di UIT JBB Lingkup Pengadaan Spare Isolator</t>
  </si>
  <si>
    <t>PT PLN UIT JBB</t>
  </si>
  <si>
    <t>kalah, lolos tridasa (Dalian) MA (TE)</t>
  </si>
  <si>
    <t>PEKERJAAN EXTENSION BAY TRAFO PAKET 2: EXTENSION TRAFO 4 GI 150 KV KUDUS</t>
  </si>
  <si>
    <t>kalah pemenang amsak</t>
  </si>
  <si>
    <t>GSW di UPT Semarang</t>
  </si>
  <si>
    <t>PT PLN UIT JBT</t>
  </si>
  <si>
    <t>sdh ada yg punya, Pandan Wangi?</t>
  </si>
  <si>
    <t>Launching awal agustus</t>
  </si>
  <si>
    <t xml:space="preserve"> PENGADAAN DAN PENGGANTIAN TRAFO 500 KV KONDISI BURUK DI WILAYAH UITJBB LINGKUP JASA PEMASANGAN TRAFO IBT#2 500/150 KV - 500 MVA FASA  R.S.T DI GITET CILEGON</t>
  </si>
  <si>
    <t>PT Indevco Global, Global Twin Star</t>
  </si>
  <si>
    <t>Indevco lolos sampul 2</t>
  </si>
  <si>
    <t>Pengadaan Peralatan Pengamanan Fire Rescue untuk Kantor Perwakilan Dalam Negeri (KPwDN) Tahun 2024- 2025</t>
  </si>
  <si>
    <t>gagal persyaratan kualifikasi blm ada pengalaman</t>
  </si>
  <si>
    <t>PEKERJAAN PEMBANGUNAN SUTT 150 kV MARISA – PELANGGAN PT GSM DAN GARDU INDUK 150 kV MARISA (EXT)</t>
  </si>
  <si>
    <t>KSO HVT - Buanareksa, KSO KAP</t>
  </si>
  <si>
    <t>Closing tgl 29 Agustus</t>
  </si>
  <si>
    <t>PEKERJAAN PEMBANGUNAN GITET 275/150KV ANDOWIA (NEW) SCOPE 150KV DAN SUTT 150KV ANDOWIA – PELANGGAN STARGATE</t>
  </si>
  <si>
    <t>KSO HVT - Buanareksa</t>
  </si>
  <si>
    <t xml:space="preserve">PENGGANTIAN SEALING END DI UIT JBB LINGKUP PENGGANTIAN SEALING END 150 KV BAY DURENTIGA 1 &amp; 2 GIS MAMPANG DUA </t>
  </si>
  <si>
    <t>Closing 29 Agustus</t>
  </si>
  <si>
    <t>Pengadaan Lemari &amp; Peralatan Damkar Stasiun LRT Jakarta</t>
  </si>
  <si>
    <t>Closing 17 September, tdk bisa memenuhi baru siap 3 minggu</t>
  </si>
  <si>
    <t>PENGADAAN DAN PEMASANGAN SPACER PENGAPIT MIDSPAN JOINT SUTET 500 KV DALAM RANGKA PENINGKATAN KEANDALAN SALURAN TRANSMISI DI UIT JBB LINGKUP PENGGANTIAN KONDUKTOR DAN AKSESORIS DI UPT PULOGADUNG</t>
  </si>
  <si>
    <t>Closing 19 Agustus, Mbak nabil FU, pakai sicame</t>
  </si>
  <si>
    <t>PEMBANGUNAN GI 150 KV PATI II/TRANGKIL</t>
  </si>
  <si>
    <t>sdh closing, 23 sept pembukaan mbak laely FU ke buanareksa</t>
  </si>
  <si>
    <t>Closing 17 September, terlambat ngasih tgl closing dan tdk memberikan penawaran harga</t>
  </si>
  <si>
    <t>PEMBANGUNAN TRANSMISI 150 KV CIKUPA NEW – INC. (TERMASUK TOWER TX JATAKE – JATAKE II)</t>
  </si>
  <si>
    <t>PT. KRAKATAU ENGINEERING &amp; CONSTRUCTION</t>
  </si>
  <si>
    <t>Closing tgl 26 Sept</t>
  </si>
  <si>
    <t>PEKERJAAN RELOKASI JARINGAN SUTT 150 KV 4CCT TANJUNG AWAR-AWAR TUBAN-BABAT TERDAMPAK PEMBANGUNAN KILANG MINYAK NGRR TUBAN</t>
  </si>
  <si>
    <t>FU ke bu nia kontraktor pakai Hogn, proses tender tunda sampai dengan pemberitahuan lebih lanjut surat tertanggal 15 Maret, FU kembali pertengahan Juni</t>
  </si>
  <si>
    <t>Di HOLD sampai waktu yg tidak ditentukan</t>
  </si>
  <si>
    <t>Closing 16 Maret 2024</t>
  </si>
  <si>
    <t xml:space="preserve">Terakhir pemasukan penawaran 15 Maret, blm ada info, terakhir FU ke Bu Nia 20 Blm ada kabar </t>
  </si>
  <si>
    <t>PEKERJAAN PEMBANGUNAN GARDU INDUK 150 KV PUNAGAYA (EXT) DAN GARDU INDUK 150 KV BANTAENG SWITCHING (EXT)</t>
  </si>
  <si>
    <t>KSO Buanareksa Binaperkasa – Jatimulia - Bira</t>
  </si>
  <si>
    <t>Closing 4 Oktober, tdk submit karna tidak dpt dukungan automatic</t>
  </si>
  <si>
    <t>PENGGANTIAN SEALING END DI UIT JBB LINGKUP PENGGANTIAN SEALING END BAY MAMPANG DUA 1 &amp; 2 GIS DURENTIGA</t>
  </si>
  <si>
    <t>Closing tgl 26 Sept, kalah penawaran harga</t>
  </si>
  <si>
    <t>PEKERJAAN PEMBANGUNAN GARDU INDUK 150 KV BONTANG LESTARI (4LB, 1BC, 1TB+TRAFO 60 MVA) DAN SUTT 150 KV BONTANG LESTARI (EX BONTANG KOALA) – INCOMER 2 PHI (PLTU KALTIM 2 (FTP 2) – BONTANG)</t>
  </si>
  <si>
    <t>Closing tgl 4 Okt</t>
  </si>
  <si>
    <t>Closing tgl 4 Oktober, tidak bawa PLP karna tidak memakai format dukungan PLN</t>
  </si>
  <si>
    <t>Pengadaan Suku Cadang Pendukung Umum</t>
  </si>
  <si>
    <t>Closing tgl 8 Oct</t>
  </si>
  <si>
    <t>PENGADAAN PAPAN RELASI LED KRL SERI JR205</t>
  </si>
  <si>
    <t>Closing tgl 9 Oct</t>
  </si>
  <si>
    <t>Closing 25 Oktober, kirim harga tgl 15 Okt</t>
  </si>
  <si>
    <t xml:space="preserve">PENANGANAN ANOMALI TRANSMISI UPT GRESIK </t>
  </si>
  <si>
    <t>Closing 8 Oktober</t>
  </si>
  <si>
    <t>Closing 8 Oktober, kalah harga pemenang Perintis
PIM: 6.006.968.488
PSE: 5.239.432.950</t>
  </si>
  <si>
    <t>UPRATING 2 LINE BAY GI NGORO ARAH SEKARPUTIH (NEW NGORO) 1,2</t>
  </si>
  <si>
    <t>2.000.000.000 (HPS)</t>
  </si>
  <si>
    <t>Closing 23 Okt, menang mega jaya sukses utama Hrg 1.474.307.721 inc PPN 11%</t>
  </si>
  <si>
    <t>Pengadaan Jasa Penggantian APAR 5 Tahunan</t>
  </si>
  <si>
    <t>Final Costing, closing 14 Okt
Harga asta bumi 269.269.350
Harga INA 295.119.030</t>
  </si>
  <si>
    <t>PENGADAAN PEKERJAAN PEMBANGUNAN GARDU INDUK 150 KV TOBELO EXTEND 2 LINE BAY DAN PEKERJAAN PEMBANGUNAN T/L 150 KV PLTMG TOBELO 2 – GI TOBELO</t>
  </si>
  <si>
    <t>Closing 29 Oktober, tdk jadi ikut tender keputusan managemen</t>
  </si>
  <si>
    <t xml:space="preserve">PENGADAAN DAN JASA PENGGANTIAN ISOLATOR POLIMER BESERTA STRINGSET SUTET 500 KV ADIPALA – KESUGIHAN 1,2 T.008-013 DAN PENGGANTIAN STRINGSET SUTET 500 KV S2P-ADIPALA 1,2 T.1-7,11,12, GANTRY ADIPALA </t>
  </si>
  <si>
    <t>Closing 29 Oktober, gagal sampul 1 teknis, pengalaman kurang 1 proyek</t>
  </si>
  <si>
    <t>Harsat Sipil Arsitektur Museum BI</t>
  </si>
  <si>
    <t>UPRATING 2 LB LAWANG|BANGIL DI GI 150KV BULUKANDANG</t>
  </si>
  <si>
    <t>PT, Binabuana Sewaka</t>
  </si>
  <si>
    <t>Closing tgl 15 Juli, tender ulang</t>
  </si>
  <si>
    <t>JASA PENANGANAN ANOMALI DAN TINDAK LANJUT GANGGUAN TRANSMISI WILAYAH UPT PURWOKERTO TAHUN 2024 – 2025</t>
  </si>
  <si>
    <t>Closing tgl 14 Agustus, MA menang, tender ulang</t>
  </si>
  <si>
    <t>PEMBANGUNAN PHI INCOMER LAMPUNG-1</t>
  </si>
  <si>
    <t>Hold</t>
  </si>
  <si>
    <t>PT Buanareksa Binaperkasa</t>
  </si>
  <si>
    <t>Closing 22 Agustus, tender batal</t>
  </si>
  <si>
    <t>JASA PENGGANTIAN TRAFO 4 SERTA NGR PADA GI 150 KV CIKASUNGKA</t>
  </si>
  <si>
    <t>Closing 4 Oktober</t>
  </si>
  <si>
    <t>Closing 10 Oktober, tender batal</t>
  </si>
  <si>
    <t>PEMBANGUNAN GI 150 KV LUBUK GAUNG DAN GI 150 KV DUMAI EXT</t>
  </si>
  <si>
    <t>Cari berita acara</t>
  </si>
  <si>
    <t>PT. Sapta Guna Utama, High Volt Technology, PT</t>
  </si>
  <si>
    <t>SGU Menang masuk 3 merk ibu sdh FU ke pak abrid sdng usaha untuk mengganti handal dgn PLP, material pakai handal</t>
  </si>
  <si>
    <t>PEMBANGUNAN GIS 150 KV SENTUL BARU BESERTA SUTT 150 KV SENTUL BARU – INC (BOGOR BARU – SENTUL)</t>
  </si>
  <si>
    <t>KSO PT. High Volt Technology &amp; NPC</t>
  </si>
  <si>
    <t>Closing tgl 25 Nov, lawan kita handal untuk connector, tdk ikut pemasukan dikarenakan tdk ada pengalaman SUTT</t>
  </si>
  <si>
    <t xml:space="preserve">PEMASANGAN SPACER PENGAPIT MIDSPAN JOINT PADA SUTET SURALAYA – BALARAJA # 1, 2 DALAM RANGKA PENINGKATAN KEANDALAN SALURAN TRANSMISI DI UIT JBB LINGKUP PENGGANTIAN KONDUKTOR DAN AKSESORIS DI UPT CIKUPA </t>
  </si>
  <si>
    <t>PT PANCAPUTRI BINABAWANA</t>
  </si>
  <si>
    <t>Closing 29 Oktober, mundur pagu 2,5 harga dapat dari PLP 3 pemenang guna swastika</t>
  </si>
  <si>
    <t>PEKERJAAN PEMBANGUNAN GIS 150 KV TEGALLUAR</t>
  </si>
  <si>
    <t>Closing 25 Nov tdk ikut pemasukan dikarenakan tdk ada pengalaman SUTT</t>
  </si>
  <si>
    <t>PEKERJAAN PEMBANGUNAN GI 150 KV KUDUS II/NALUMSARI DAN SUTT 150 KV KUDUS II/NALUMSARI – INCOMER (KUDUS – JEPARA)</t>
  </si>
  <si>
    <t>Closing 19 Nov, tdk ikut pemasukan dikarenakan tdk ada pengalaman SUTT</t>
  </si>
  <si>
    <t>Pengadaan Alat Thermovisi GI Tersebar di UPT Bekasi</t>
  </si>
  <si>
    <t>Hrga di atas HPS</t>
  </si>
  <si>
    <t>Pengadaan dan Jasa Penggantian String Set serta Isolator untuk SUTT 70 kV Kedung Badak - Kracak Tahap 3</t>
  </si>
  <si>
    <t>Kalah sampul Teknis kurang di Surat data Supply dan CV</t>
  </si>
  <si>
    <t>PEMBANGUNAN GI 150/20 KV SOREK DAN INCOMER SUTT 150 KV</t>
  </si>
  <si>
    <t>pakai handal &amp; hogn minta harga mereka</t>
  </si>
  <si>
    <t>Closing tgl 27 Agustus, FU Ibu 9 sept (3 merk),  pakai handal &amp; hogn minta harga mereka</t>
  </si>
  <si>
    <t>tidak lulus sampul 1, karna dok teknis data supply dari pabrikan &amp; kontrak dan data personalia dan CV Pemenang spektrum
475 harga kita 503</t>
  </si>
  <si>
    <t>Closing 21 Nov (minta isolator Huble) kalah sampul 2</t>
  </si>
  <si>
    <t>PENGADAAN ALAT UJI DI WILAYAH UPT BANDUNG</t>
  </si>
  <si>
    <t>HPS: 955.955.925</t>
  </si>
  <si>
    <t>PT. INDODAYA NARATAMA ABADI</t>
  </si>
  <si>
    <t>Aanwijzing 19 des
closing 15 January 25</t>
  </si>
  <si>
    <t>Pekerjaan Pembangunan Extension 1 Trafo Bay + Trafo 30 MVA Gardu Induk 150 kV Satui</t>
  </si>
  <si>
    <t>PT. MEGA POWER TEKNINDO</t>
  </si>
  <si>
    <t>Closing 6 Desember, kalah sampul 1</t>
  </si>
  <si>
    <t>PENGGANTIAN STRINGSET DAN ISOLATOR SUTT 150 KV JATILUHUR – PADALARANG TAHAP 1</t>
  </si>
  <si>
    <t>PT. TUBAN JAYA MANDIRI, PT MEGA ALFARIZKI</t>
  </si>
  <si>
    <t>Mega alfa kalah sampul 2 , tuban tidak masukin penawaran</t>
  </si>
  <si>
    <t xml:space="preserve">PENGADAAN DAN PENGGANTIAN MTU DI WILAYAH UPT SEMARANG </t>
  </si>
  <si>
    <t>JASA PELAKSANAAN UPRATING BAY TRAFO GI 150 KV KE 2 SERONDOL</t>
  </si>
  <si>
    <t>DPT</t>
  </si>
  <si>
    <t>PENGADAAN DAN PENGGANTIAN PROTEKSI BUSBAR DAN DIAMETER TERSEBAR DI WILAYAH UPT SEMARANG</t>
  </si>
  <si>
    <t>PENINGKATAN KEANDALAN SALURAN TRANSMISI DI UIT JBB LINGKUP PENGGANTIAN KONDUKTOR DAN AKSESORIS DI UPT CILEGON</t>
  </si>
  <si>
    <t>Menunggu harga  ACCC dari PLP, FU tgl 2 jan</t>
  </si>
  <si>
    <t>Pakai Ribe sesuai permintaan PLN</t>
  </si>
  <si>
    <t>Closing 19 Nov (minta isolator polymer, Huble) Tuban Menang, Nabil minta harga ke PLP untuk ACCC, kemarin nego harga</t>
  </si>
  <si>
    <t>DPT MATERIAL ISOLATOR KERAMIK</t>
  </si>
  <si>
    <t>Closing 13 Des, klarifikasi sampul 1, gagal tidak ada sukses operasi 160kN dan sukses operasi dari UPT</t>
  </si>
  <si>
    <t>PEKERJAAN MATERIAL UNTUK PEMERLIHARAAN DI WILAYAH UPT BOGOR</t>
  </si>
  <si>
    <t>HPS : 2.383.364.163</t>
  </si>
  <si>
    <t>Aanwijzing 19 des
closing 8 January 25
Kalah sampul 1 PG Clamp tidak ada surat dukungan</t>
  </si>
  <si>
    <t>PEKERJAAN PEMELIHARAAN PERALATAN ME DI GEDUNG THAMRIN KOPERBI JAKARTA</t>
  </si>
  <si>
    <t>gagal mengikuti karena tidak ada BPJS</t>
  </si>
  <si>
    <t>4 okt baru mulai sipilnya estimasi 3-4 bulan oct ini renc survey</t>
  </si>
  <si>
    <t xml:space="preserve">Closing tgl 19 Desember, dalam masa sanggah, PLN terbitin surat pemenang </t>
  </si>
  <si>
    <t>status masih masih ada permntaan insulator Glass, PO akan diliris Feb-Maret, diinfokan ke kontraktor kemungkinan harga naik didatangin tgl 09 jan 25, tdk pakai PLP</t>
  </si>
  <si>
    <t>PERKUATAN SISTEM PROTEKSI PETIR TERSEBAR DI WILAYAH UPT SEMARANG</t>
  </si>
  <si>
    <t>yg punya PWS, Pinjem bendera CKB pakainya Handal</t>
  </si>
  <si>
    <t>PENGADAN KABEL ON SHORE CONNECTION JETTY</t>
  </si>
  <si>
    <t>kalah harga 1 : Jembo 6.577.520.000
2. 6.577.675.000 MKN
3 6.775.000.000 Voksel</t>
  </si>
  <si>
    <t>PERABOT NON LOGAM ECATALOGUE 2024</t>
  </si>
  <si>
    <t>yg lolos hanya Ruhui 
INA tdk lolos : 1 warna harusnya hitam
hasil uji test tiap kursi</t>
  </si>
  <si>
    <t>Pemasukan 17 Januari
Kalah sampul 1 update di eproc tidak masukan</t>
  </si>
  <si>
    <t>PENGADAAN STRING SET EARTH WIRE AS 70 MM2 DAN JASA PENGGANTIAN STRING SET SERTA EARTH WIRE SUTT 150 KV KALIBAKAL-RAWALO-PLTU CILACAP T.01- 44</t>
  </si>
  <si>
    <t>Closing 23 Januari kalah yg menang Pelita Bumi Wangi pakai sicame</t>
  </si>
  <si>
    <t>PEMBANGUNAN EXTENSION 2 LINE BAY GI 150 KV BALONGAN DAN PENYEMPURNAAN GI 150 KV BALONGAN</t>
  </si>
  <si>
    <t>KSO QDC – Buanareksa</t>
  </si>
  <si>
    <t>Closing 5 Feb, kalah harga pemenang Bisetta</t>
  </si>
  <si>
    <t>Penambahan Grounding Langsung di UIT JBB Lingkup Penambahan Grounding di UPT Pulogadung pada SUTET 500 KV Tambun – Bekasi – Muara Tawar</t>
  </si>
  <si>
    <t>Closing 4 Oktober, menunggu BA nego, sdh ttd kontrak 12 nov, mengajukan approval dwg ada beberapa pertanyaan ditgl 2 des, sdh dikirim pengajuan buat approval sdh survey kemungkinan pek. Awal tahun, ada perubahan design tidak pakai PLP</t>
  </si>
  <si>
    <t>PEMBANGUNAN GI 150 KV JATILUHUR BARU</t>
  </si>
  <si>
    <t>Closing  Jan, FU kalah pemenang WST</t>
  </si>
  <si>
    <t>Penggantian Stringset dan Isolator Switchyard di GIS Salak Lama, GI Bogor Baru, dan GI Cileungsi</t>
  </si>
  <si>
    <t>Closing : 26 Feb, kalah harga pemenang Pandan Wangi</t>
  </si>
  <si>
    <t>PEMBANGUNAN GARDU INDUK 150 KV KTT INDAH KIAT</t>
  </si>
  <si>
    <t>KONSORSIUM KAP – MJSU, PT. POWERCHINA INTELIGENSI DAN INTEGRITAS ENERGI TEKNOLOGI INDONESIA, PT. Niagamas Setiausaha</t>
  </si>
  <si>
    <t>Closing 22 Januari, kalah harga pemenang WST, KAP harga ke-2</t>
  </si>
  <si>
    <t>Tender Ulang Pekerjaan Pembangunan Extension 1 Trafo Bay + Trafo 30 MVA Gardu Induk 150 kV Satui</t>
  </si>
  <si>
    <t>Closing 30 Januari 2025, Kalah harga pemenang Citra Bakti Persada</t>
  </si>
  <si>
    <t>PENGADAAN STRING SET EARTH WIRE AS 70 MM2 DAN JASA PENGGANTIAN STRING SET SERTA EARTH WIRE SUTT 150 KV MRICA-WONOSOBO 1,2 T.1-108, SUTT 150 KV MRICA-PURBALINGGA 2 T.1-78</t>
  </si>
  <si>
    <t>Closing 8 Feb, kalah harga pemenang pelita bumiwangi</t>
  </si>
  <si>
    <t>PENGGANTIAN STRINGSET DAN ISOLATOR KOROSIF SUTT CIGERELENG – RAJAMANDALA – SUKALUYU – CIANJUR TAHAP 1</t>
  </si>
  <si>
    <t>PT. Kilat Wahana Jenggala</t>
  </si>
  <si>
    <t>Closing 20 Feb, kalah harga pemenang Global Twin Star</t>
  </si>
  <si>
    <t>PEMASANGAN MULTI DIRECT GROUNDING (MDG) SUTT 70 DAN 150 KV TERSEBAR WILAYAH UPT BOGOR</t>
  </si>
  <si>
    <t>PT. Tuban Jaya Mandiri, PT Tesla Daya Elektrika</t>
  </si>
  <si>
    <t>Closing 24 Feb, TJM menang tidak pakai PLP pakainya KAK</t>
  </si>
  <si>
    <t>PENGADAAN STRING SET EARTH WIRE AS 120MM2 DAN JASA PENGGANTIAN STRING SET SERTA EARTH WIRE SUTET 500 KV MANDIRANCAN – PEMALANG 1 T. 125-198</t>
  </si>
  <si>
    <t>Closing 25 Feb, kalah harga pemenang perintis sarana elektrik</t>
  </si>
  <si>
    <t>PENGGANTIAN STRINGSET DAN ISOLATOR KOROSIF GI TERSEBAR DI WILAYAH UPT BANDUNG</t>
  </si>
  <si>
    <t>Closing 7 Maret, kalah harga pemenang GTS</t>
  </si>
  <si>
    <t>Closing 10 Maret, Menang tdk pakai PLP</t>
  </si>
  <si>
    <t>MODIFIKASI PENTANAHAN TOWER DI WILAYAH UPT PULOGADUNG TAHUN 2025</t>
  </si>
  <si>
    <t>Closing 10 April, batak  pemasukan, karna harga diatas pagu</t>
  </si>
  <si>
    <t>Tender terbatas, pemenang CKB</t>
  </si>
  <si>
    <t>PENGGANTIAN KABEL POWER 20 KV TERSEBAR UPT BOGOR</t>
  </si>
  <si>
    <t>Closing 26 Feb, Kalah harga</t>
  </si>
  <si>
    <t>PEKERJAAN PENANGANAN TOWER KRITIS T.108 SIDRAP - MAKALE</t>
  </si>
  <si>
    <t>PT Persada Indah Muda</t>
  </si>
  <si>
    <t>Closing 19 Maret</t>
  </si>
  <si>
    <t>Closing 19 Maret, Menang material pakai Hogn</t>
  </si>
  <si>
    <t xml:space="preserve">PENGADAAN ALAT TERMOVISI </t>
  </si>
  <si>
    <t>Closing 15 April, tidak jadi pemasukan</t>
  </si>
  <si>
    <t>PENANGANAN ANOMALI TOWER KRITIS DI UPT MADIUN</t>
  </si>
  <si>
    <t>Closing 10 April, tidak lolos sampul 1 karna tidak ada pengalaman sejenis (Dinding Penahan Tanah)</t>
  </si>
  <si>
    <t>Pengadaan Alat Uji Transmisi UPT Pontianak</t>
  </si>
  <si>
    <t>Tidak jadi</t>
  </si>
  <si>
    <t>PENGADAAN POMPA BANJIR</t>
  </si>
  <si>
    <t>Pengadaan Perkuatan Pondasi dan Pengamanan Tower SUTT</t>
  </si>
  <si>
    <t>Kalah gugur sampul 1 karna tdk ada pengalaman DPT yg menang bangun kreasi artha selisih 200jt</t>
  </si>
  <si>
    <t>PENGADAAN ALAT KERJA PENDUKUNG K3</t>
  </si>
  <si>
    <t>PT.Indodaya Naratama Abadi</t>
  </si>
  <si>
    <t>D&amp;B 3A</t>
  </si>
  <si>
    <t>PENGGANTIAN HV CLAMP DI UPT PROBOLINGGO</t>
  </si>
  <si>
    <t>PT CIPTA DAYA UTAMA</t>
  </si>
  <si>
    <t>Closing 19/05, tidak lolos tahap selanjutnya</t>
  </si>
  <si>
    <t>PENGADAAN DAN PEMASANGAN ISOLATOR POLIMER GI PANAF, GI ROPA DAN GI ULUMBU DI PT PLN (PERSERO) UPT KUPANG</t>
  </si>
  <si>
    <t>Pagu : 2.456.200.000</t>
  </si>
  <si>
    <t>Kalah harga
Pemenang Spektrum : 2.345.000.000
Harga INA : 2.383.339.800</t>
  </si>
  <si>
    <t>PT. Kencana Alam Putra, KWJ, KMU</t>
  </si>
  <si>
    <t>Feed for OPL Menggala North Waterflood Project''</t>
  </si>
  <si>
    <t xml:space="preserve">KSO PT Patra Drilling Contractor &amp; PT Enviromate Technology International </t>
  </si>
  <si>
    <t>Closing 24/05, tdk dikasih harga dari PLP</t>
  </si>
  <si>
    <t>PENGADAAN ALAT TULIS KANTOR DI LINGKUNGAN PT KERETA COMMUTER
INDONESIA TAHUN 2025</t>
  </si>
  <si>
    <t xml:space="preserve">Kalah harga
1.617.907.696 11% dari hps
</t>
  </si>
  <si>
    <t>PERBAIKAN GROUNDING LANGSUNG DAN PEREMAJAAN GSW UNTUK PERBAIKAN SISTEM PENGAMANAN PETIR DI UPT MALANG</t>
  </si>
  <si>
    <t>Closing 19 Mei, MA tdk masukin penawaran harga, dikarenakan hitungan diatas HPS</t>
  </si>
  <si>
    <t xml:space="preserve">PEMBANGUNAN EXTENSION 6 LINE BAY GI TELUKJAMBE II (2 LINE BAY ARAH KTT AMAZON, 2 LINE BAY ARAH GI 150KV KTT INDAH KIAT, DAN 2 LINE BAY GI 150KV KARAWANG) </t>
  </si>
  <si>
    <t>PT. Wisma Sarana Teknik</t>
  </si>
  <si>
    <t>Menang harga dari handal 1M, harga modal dari PLP 1,461,579,130.00</t>
  </si>
  <si>
    <t>PENYELESAIAN PENDING ITEM GI DAN TRANSMISI DALAM RANGKA STOP/STAP/STP PROYEK WILAYAH UPP JBT 1</t>
  </si>
  <si>
    <t>PT. Hydro Techno Utama</t>
  </si>
  <si>
    <t>Closing 25 Mei, Amsak Menang</t>
  </si>
  <si>
    <t>PENYELESAIAN PENDING ITEM GI DAN TRANSMISI DALAM RANGKA STOP/STAP/STP PROYEK WILAYAH UPP JBT  2</t>
  </si>
  <si>
    <t>PT. Hydro Tec,hno Utama, PT. CITACONTRAC , PT Multi fabrindo</t>
  </si>
  <si>
    <t>Closing 25 Mei, Multi fabrindo menang pakai sicame</t>
  </si>
  <si>
    <t>PEKERJAAN PENGADAAN DAN PENGGANTIAN SEALING END UPT PULOGADUNG</t>
  </si>
  <si>
    <t>PT. High Volt Technology, PT. Indevco Global</t>
  </si>
  <si>
    <t>Closing 09/06, HVT tidak msaukan Indevco kalah</t>
  </si>
  <si>
    <t>PENGADAAN DAN PENGGANTIAN SEALING END GIS 150 KV UPT CAWANG TAHAP 1</t>
  </si>
  <si>
    <t>Closing 09/06</t>
  </si>
  <si>
    <t>PENGADAAN DAN PENGGANTIAN ISOLATOR BERIKUT STRINGSET SUTT 70KV KOSAMBI BARU-RENGASDENGKLOK #1 DAN #2</t>
  </si>
  <si>
    <t>PT. PSE</t>
  </si>
  <si>
    <t>sicame, selisih dengan PLP 20%</t>
  </si>
  <si>
    <t>PENGGANTIAN TRAFO #3 GI 150 KV LOMANIS</t>
  </si>
  <si>
    <t>PT. Pelita Bumi Wangi</t>
  </si>
  <si>
    <t>masih minta harga stringset Purwokerto,</t>
  </si>
  <si>
    <t>PENGADAAN STRING SET EARTH WIRE AS 70 MM2 DAN JASA PENGGANTIAN STRING SET SERTA EARTH WIRE SUTaT 150 KV KALIBAKAL-RAWALO-PLTU CILACAP T.01 - 44</t>
  </si>
  <si>
    <t>masih minta harga stringset Purwokerto</t>
  </si>
  <si>
    <t>PEKERJAAN PENGGANTIAN GSW MENJADI OPGW LINE BIMA-WOHA-DOMPU DAN EMPANG-PLAMPANG</t>
  </si>
  <si>
    <t>PT. KELINCI MAS UNGGUL, PT. TESLA DAYA ELEKTRIKA</t>
  </si>
  <si>
    <t>Closing 26/05/2025, menunggu pengumuman pemenang, mbak laely FU ke KMU dan Tesla pakai merk apa, pemenang tender PT. Aneka Berkat</t>
  </si>
  <si>
    <t>PENGGANTIAN GSW SUTT 150 KV MANDIRANCAN-NEW ARJAWINANGUN GT-T.1AB-T.29, MANDIRANCAN-SUNYARAGI T.30-T.39-GT,SUTT 70 KV JATIBARANG-ARJAWINANGUN GT-T.79-GT, DAN GSW SWITCHYARD GI 70 KV JATIBARANG</t>
  </si>
  <si>
    <t xml:space="preserve">PT TUNAS KARYA ADITAMA </t>
  </si>
  <si>
    <t>sdh menang dukungan awal IAG saat ini masih proses approval drawing FU Ikhbal Email ke pak Ari, SPH sudah dikirim Mbak laely FU 30/06, selisih 2,5% dari KPP</t>
  </si>
  <si>
    <t>PENGADAAN DAN JASA PEMASANGAN STRINGSET DAN GSW AS 70 MM2 UNTUK MENGGANTI GSW KOROSIF PADA SUTT 150KV SEMENBARU-ITP T.1-T.29</t>
  </si>
  <si>
    <t>PT ARCA ENERGI</t>
  </si>
  <si>
    <t>pinjem bendera</t>
  </si>
  <si>
    <t>PENGADAAN DAN PENGGANTIAN TRAFO KONDISI BURUK WILAYAH TIMUR UITJBB LINGKUP JASA PENGGANTIAN TRAFO KONDISI BURUK DI GI CIKUPA</t>
  </si>
  <si>
    <t>kalah harga</t>
  </si>
  <si>
    <t>PEKERJAAN PENGGANTIAN MTU CT UNTUK AKTIVASI BUSPRO GI SINJAI</t>
  </si>
  <si>
    <t>Kelinci Mas Unggul, PT</t>
  </si>
  <si>
    <t>Kalah harga PT. TALASALAPANG SULBAR</t>
  </si>
  <si>
    <t>PEKERJAAN PENGGANTIAN MTU CT UNTUK AKTIVASI BUSPRO GI PANGKEP</t>
  </si>
  <si>
    <t>Add HVC IBT 150 kV &amp; GITET 500 kV Deltamas</t>
  </si>
  <si>
    <t>PT. Sejahtera Mulia Kencana</t>
  </si>
  <si>
    <t>sdh PO menunggu DP approval drawing belum, PLNnya tidak jadi PO, minta surat pembatalan PO</t>
  </si>
  <si>
    <t>PERBAIKAN GROUNDING LANGSUNG DI UPT MADIUN</t>
  </si>
  <si>
    <t>Closing 23 Juli, tidak jadi pemasukan</t>
  </si>
  <si>
    <t>PEKERJAAN JASA PEMASANGAN MTU CVT UPT PALU</t>
  </si>
  <si>
    <t>PT. KELINCI MAS UNGGUL</t>
  </si>
  <si>
    <t>Closing 31/07, tidak jadi pemasukan</t>
  </si>
  <si>
    <t>PEKERJAAN REKONDUKTORING TRANSMISI 150 KV PARIT BARU – SIANTAN</t>
  </si>
  <si>
    <t>Closing 31/07, tidak dikasih dukungan dan harga karna sudah di settle</t>
  </si>
  <si>
    <t>Pengadaan Pekerjaan Pembangunan Extension Bay Coupler GI Sebangau</t>
  </si>
  <si>
    <t>Closing 04/08, tidak jadi ikut pemasukan</t>
  </si>
  <si>
    <t xml:space="preserve">PEMBANGUNAN EXTENSION 2 LINE BAY GI 150KV PINAYUNGAN (ARAH KTT MICROSOFT JKT02 &amp; JKT09) </t>
  </si>
  <si>
    <r>
      <t xml:space="preserve">Menang PLP,KAK, proses approval drawing mbak laely FU 13/06, material tidak pakai PLP pakai KAK, PLN UIP, penawaran PLP </t>
    </r>
    <r>
      <rPr>
        <b/>
        <sz val="16"/>
        <color theme="1"/>
        <rFont val="Calibri"/>
        <family val="2"/>
        <scheme val="minor"/>
      </rPr>
      <t>339.800.000</t>
    </r>
    <r>
      <rPr>
        <sz val="16"/>
        <color theme="1"/>
        <rFont val="Calibri"/>
        <family val="2"/>
        <scheme val="minor"/>
      </rPr>
      <t>, menunggu update harga dari multifab, mau lewai di eproc kan</t>
    </r>
  </si>
  <si>
    <t>EXTENSION BAY TRAFO PAKET 2: EXTENSION TRAFO 3 GI 150 KV CIKARANG LIPPO DAN TRAFO 5 GI KV CIBATU</t>
  </si>
  <si>
    <t>Closing 08/08, Dukungan melalui infotech</t>
  </si>
  <si>
    <t>PENGGANTIAN ISOLATOR DI UPT BALI</t>
  </si>
  <si>
    <t>HPS 5,6 M</t>
  </si>
  <si>
    <t>PT. PERSADA INDAH MUDA, PT. Loka Sejahtera Abadi</t>
  </si>
  <si>
    <t>Closing 07/08</t>
  </si>
  <si>
    <t>PENGGANTIAN TRAFO #1 150/20 KV 60 MVA GIS GROGOL DI UPT DURIKOSAMBI TAHUN 2024 DALAM RANGKA PENGADAAN DAN PENGGANTIAN TRAFO 150 KV KONDISI BURUK DI WILAYAH UITJBB LINGKUP PENGGANTIAN TRAFO WILAYAH UPT DURIKOSAMBI</t>
  </si>
  <si>
    <t>Dalian</t>
  </si>
  <si>
    <t>Closing 27 Mei, Menang, SPK sdh diterima nunggu info trafo (rencana pakai merk unindo) dari dari PLN, rencana minggu ini ke Indevco, trafo belum ready</t>
  </si>
  <si>
    <t>PENGADAAN DAN PENGGANTIAN ISOLATOR KONDISI KRITIS TERSEBAR DI WILAYAH UNIT INDUK TRANSMISI JAWA BAGIAN TIMUR DAN BALI (PENGADAAN ISOLATOR KERAMIK</t>
  </si>
  <si>
    <t xml:space="preserve">PT KARYASEMBADA CIPTAMANDIRI </t>
  </si>
  <si>
    <t>Closing 23/07, kalah gugur sampul 1 karna surat dukungan keagenan (STP), Lolos KAP, Mulya Jatra, Mitra persada</t>
  </si>
  <si>
    <t>GI 150 KV KRUENG RAYA EXT TRAFO (1x60) MVA</t>
  </si>
  <si>
    <t>Dungo Reksa, NPC</t>
  </si>
  <si>
    <t xml:space="preserve"> mundur Closing 15 Agustus, NPC Gagal sampul 1 adminitrasi</t>
  </si>
  <si>
    <t>GI 150 KV TAKENGON EXT TRAFO (1x60) MVA</t>
  </si>
  <si>
    <t>NPC</t>
  </si>
  <si>
    <t>Closing 25 Juli, PLP janji hari ini kirim SPH, NPC Gagal sampul 1 adminitrasi</t>
  </si>
  <si>
    <t>PEMASANGAN KABEL POWER TERSEBAR DI UPT MADIUN</t>
  </si>
  <si>
    <t>Closing 05/08, masih evaluasi sampul 1, tidak lolos sampul 1 tidak dapat dukungan 3d scanner</t>
  </si>
  <si>
    <t>UPRATING GI 150 KV SANGGRAHAN BAY MEDARI, BAY KENTUNGAN ; GI 150 KV MEDARI BAY SANGGRAHAN</t>
  </si>
  <si>
    <t>Menang tidk pakai PLP, pakai KAK selisih 25% insulator pakai suzho</t>
  </si>
  <si>
    <t>PEKERJAAN EXTENSION BAY TRAFO PAKET 3 DI GI 150 kV JEPARA DAN GI 150 kV JEKULO</t>
  </si>
  <si>
    <t>PT. Global Twin Star, PT. MPT</t>
  </si>
  <si>
    <t>Closing 08/08, tidak pakai PLP, pakai handal selisih 20%</t>
  </si>
  <si>
    <t>PENGADAAN STRINGSET ISOLATOR DAN JASA PENGGANTIAN STRINGSET SERTA ISOLATOR 120 KN UNTUK SUTT 150 KV PEMALANG - TARUB 1,2 T.1-59A DAN SUTT 150 KV TARUB - KEBASEN 1,2 60A-78</t>
  </si>
  <si>
    <t>PT. Duta Cakrawala Indonesia, PT PERSADA INDAH MUDA</t>
  </si>
  <si>
    <t>Kalah PIM selisih 300 jt sama PSE
DCI turun 7% PSE 12%</t>
  </si>
  <si>
    <t>PENGADAAN BARANG DAN JASA KONSTRUKSI GI 150 KV BUNGAH / JIIPE EXTENSION TRAFO BAY</t>
  </si>
  <si>
    <t>PT. MEGA POWER TEKNINDO, PT. Binabuana Sewaka</t>
  </si>
  <si>
    <t>Closing 30/07, harga PLP lebih mahal 50% dari handal, pemenang Purnama Indonesia</t>
  </si>
  <si>
    <t>PENGGANTIAN TRAFO #1 GI 150 KV DIENG</t>
  </si>
  <si>
    <t>PT. Duta Cakrawala Indonesia,</t>
  </si>
  <si>
    <t>Closing 06/08, kalah, pemenang smthree</t>
  </si>
  <si>
    <t>insulator stock GIG 120kN Antifog</t>
  </si>
  <si>
    <t>Persada Engineering &amp; Contruction - Kamesa</t>
  </si>
  <si>
    <t>Melalui KPP</t>
  </si>
  <si>
    <t>PEMBANGUNAN GIS 150 KV GANDUL II/PAMULANG BESERTA SUTT 150 KV GANDUL II/PAMULANG – INC (SERPONG – BINTARO)</t>
  </si>
  <si>
    <t>KSO PT. HASTA PRAJATAMA – PT. HIGH VOLT TECHNOLOGY, CITICON CONSORTIUM, NPC</t>
  </si>
  <si>
    <t>TL pakai PLP GI pakai Handal, mundur 20 Agustus, FU ketemuan kamis atau jumat tgl 31 dengan citicon mbak laely, masih evaluasi di tim manajemen, Kalah, Pemenang IMURA (182M), no 2 NPC (195M) no 3 Citicon (198M) Indokomas (203M) citramas (205M) Hasta Praja (207M) Twing (218M)</t>
  </si>
  <si>
    <t>TLA DI WILAYAH PENGADAAN DAN PEMASANGAN UNIT INDUK TRANSMISI JAWA BAGIAN TENGAH</t>
  </si>
  <si>
    <t>PT. Bisetta</t>
  </si>
  <si>
    <t>tender ulang pemasukan 17 July, mbak laely FU ke pak Tholib enindo, fu Tgl 04/08 masih evaluasi, belum ada update dari PLP, KALAH</t>
  </si>
  <si>
    <t xml:space="preserve">PEKERJAAN PENGGANTIAN AIR BUSHING GISTET KEMBANGAN DAN CAWANG BARU </t>
  </si>
  <si>
    <t xml:space="preserve">PT. ENINDO ORBITAMA, PT. DELTA SINAR PERKASA </t>
  </si>
  <si>
    <t>kalah</t>
  </si>
  <si>
    <t>PT ENINDO ORBITAMA, PT DELTA SINAR PERKASA</t>
  </si>
  <si>
    <t>kalah harga diatas hps</t>
  </si>
  <si>
    <t>PEKERJAAN PEMBANGUNAN GI 66 KV ALAS EXT 30 MVA</t>
  </si>
  <si>
    <t>PT. CITRA BAKTI PERSADA, PT. NIAGAMAS SETIAUSAHA</t>
  </si>
  <si>
    <t>kalah pemenang indokomas
Indokomas 28.448.190.00
Niagamas Setiausaha 29.861.228.341
Citra Bakti Persada 30.990.885.771
Iradat Aman Globalindo 31.938.000.000
QDC Technologies 33.589.836.770</t>
  </si>
  <si>
    <t>Pekerjaan Pengadaan dan Pemasangan Extension Bay Trafo 4 GI 150 kV Bantul</t>
  </si>
  <si>
    <t>Closing 11/08, masih evaluasi, harga diatas HPS</t>
  </si>
  <si>
    <t xml:space="preserve">Pekerjaan Pengadaan dan Pemasangan Extension Bay Trafo 3 di GI 150KV Margakarya </t>
  </si>
  <si>
    <t>Closing 18/08, masih evaluasi harga diatas HPS</t>
  </si>
  <si>
    <t>PENGADAAN DAN PEMASANGAN KUBIKEL DI UPT MALANG</t>
  </si>
  <si>
    <t>Closing 13/08, kalah sampul 1 tidak dapat dukungan 3d laser</t>
  </si>
  <si>
    <t>BFLL ORB</t>
  </si>
  <si>
    <t>Hexa</t>
  </si>
  <si>
    <t>menunggu info PLP US, udh ngasih harga</t>
  </si>
  <si>
    <t xml:space="preserve">PEMBANGUNAN GI 150 KV SELARU DAN SUTT INC. 2 PHI (BATULICIN – KOTABARU) - SELARU </t>
  </si>
  <si>
    <t>BAP Indokomas, Dalima, QDC, HKP</t>
  </si>
  <si>
    <t>KSO HKP – INDISI</t>
  </si>
  <si>
    <t>pemenang hasta praja selisih 11,32%</t>
  </si>
  <si>
    <t>PENGGANTIAN ISOLATOR KERAMIK DI UPT SURABAYA</t>
  </si>
  <si>
    <t>Closing 26/08, Evaluasi sampul 1, kalah pakai ribe</t>
  </si>
  <si>
    <t>PENGGANTIAN ISOLATOR DI UPT MALANG</t>
  </si>
  <si>
    <t>Closing 15/08, pakai PLP LULUS sampul 1, kalah, pemenang Cahaya Karya Bersama</t>
  </si>
  <si>
    <t>EXTENSION TRAFO BAY 60 MVA GI 150 KV CENDANA</t>
  </si>
  <si>
    <t>PT. CITRA BAKTI PERSADA, PT. Mega Power Teknindo, HKP</t>
  </si>
  <si>
    <t>kalah, pemenang multifab pakai handal</t>
  </si>
  <si>
    <t>PT NPC</t>
  </si>
  <si>
    <t>sdh dikirim ke NPC dukungan dan harga, closing 19/09, SBU konsorsium kunmi belum jadi sampai closing tender</t>
  </si>
  <si>
    <t>PENGGANTIAN ISOLATOR POST PADA TIANG BETON TIPE I DI UPT BALI</t>
  </si>
  <si>
    <t>PT MEGA ALFARIZaKI</t>
  </si>
  <si>
    <t>Menang material pakai sicame TPG PLP tidak masuk</t>
  </si>
  <si>
    <t>PEKERJAAN PENGADAAN DAN PEMASANGAN EXTENSION BAY TRAFO-3 DI GI 150 KV TAMAN MEKAR</t>
  </si>
  <si>
    <t xml:space="preserve">318.073.400
</t>
  </si>
  <si>
    <t>Kalah, pemenang permata jaya teknik</t>
  </si>
  <si>
    <t>PENGGANTIAN GSW SKUNK SUTT 150 KV T.10C – T.1C – PHICON T.64 – T.179 SALAK BARU – BOGOR BARU &amp; SUTT 150 KV T.22 – T.1 – PHICON T.64 – T.179 CIBADAK BARU – BOGOR BARU</t>
  </si>
  <si>
    <t>PT. BANGUN PRIMA SEMESTA</t>
  </si>
  <si>
    <t>FU Ikhbal 18/09</t>
  </si>
  <si>
    <t>Kalah pemenang TKAD</t>
  </si>
  <si>
    <t>PEMBANGUNAN EXTENSION 2 LINE BAY GI 150 KV KIIC II/MARGAKARYA (ARAH KTT AMAZON DATA SERVICE INDONESIA #1 dan #2)</t>
  </si>
  <si>
    <t>KSO PT YUDITHA NUGRAHA KARYA – PT. MEGA POWER TEKNINDO</t>
  </si>
  <si>
    <t>Closing 30 Januari 2025, KSO YNK - MPT menang masukin 3 merk (PLP. Handal, KAK), menunggu fix boq atau MTO dari engineering dlu agar sama persepsi MTOnya dahulu, sdh dikasi kisi" harga handal menunggu respon PLP, sdh dikasih harga diskon AI kasih harga ke MPT, menunggu design PLP NPC mengirikan design insulator untuk stringset, ada BOQ terbaru Harga  AI 190jt minta ditawar 180jt, tidak jadi pakai PLP pakainya handal</t>
  </si>
  <si>
    <t xml:space="preserve">GI BONTANG </t>
  </si>
  <si>
    <t>PT HASTA PRAJATAMA</t>
  </si>
  <si>
    <t>SPH sdh keluar, sdh dikasih harga stringset &amp; dead end pak Tengku, sedang direview qty internal, tgl 10/09 ke PLN, sudah closing terdapat perbedaan kode material dari penawaran yang lama dengan penawaran yang baru tidak sempat FU ke ALAM karna waktu terlalu mepet, tidak jadi pakai PLP karna ada perbedaan pada drawing</t>
  </si>
  <si>
    <t>STRINGSET INSULATOR PULOGADUNG</t>
  </si>
  <si>
    <t>Backdate surduk, geser ribe approval dwg , Bu Laely cari link PLN Pulogadung</t>
  </si>
  <si>
    <t>PENGADAAN BARANG DAN JASA KONSTRUKSI SUTT 150 KV BLIMBING BARU – BANGIL TAHAP II (SECTION BANGIL BARU – BANGIL)</t>
  </si>
  <si>
    <t>PT. AHZA JAYA MULIA</t>
  </si>
  <si>
    <t>dukungan sudah diminta ke disty lain</t>
  </si>
  <si>
    <t>PENGADAAN DAN JASA PENGGANTIAN ISOLATOR POLIMER 210 KN BESERTA STRING SET ISOLATOR 210 KN UNTUK SUTET 500 KV PEDAN – KESUGIHAN 1,2 DAN SUTET 500 KV KESUGIHAN – TASIK 1,2 SERTA PENGADAAN DAN JASA PENAMBAHAN ISOLATOR 120 KN PADA SUTT 150 KV PURBALINGGA -  RAWALO 1,2</t>
  </si>
  <si>
    <t>Closing 23/10/2025, pakai sicame</t>
  </si>
  <si>
    <t>PEKERJAAN PEMBANGUNAN GARDU INDUK 150 KV MARISA EXTENSION 30 MVA</t>
  </si>
  <si>
    <t>PT. BINA NOVITA,</t>
  </si>
  <si>
    <t>Closing 11/09, Kalah sampul 1 dari TPG LA, Pemenang indokomas</t>
  </si>
  <si>
    <t>UPRATING DAN PENYEMPURNAAN BUSBAR GI 150 KV TAMBUN</t>
  </si>
  <si>
    <t>tender batal, rencana tender ulang, 
di BAP Indevco dan DCI, FU ke UPT Bekasi dan UITJBT pak sumka dan pak indra</t>
  </si>
  <si>
    <t>Additional betung</t>
  </si>
  <si>
    <t>Twink</t>
  </si>
  <si>
    <t>tgl 23/09  ke twink minta kerja tambah tidak jadi dikarenakan harga mahal minta kerja kurang ke PLN</t>
  </si>
  <si>
    <t>LRT Pramuka</t>
  </si>
  <si>
    <t>Pengadaan Material diambil ex PLN pak syaifuddin, UPT Pulogadung minta PIC PLNnya, sdh terpasang</t>
  </si>
  <si>
    <t>PENGADAAN BARANG DAN JASA KONSTRUKSI SUTT 150 KV DRIYOREJO II / WRINGINANOM INCOMER</t>
  </si>
  <si>
    <t>Closing 14/10/2025, KALAH DI TPG steel struktur</t>
  </si>
  <si>
    <t>JASA PEMASANGAN TRAFO #2 SITUBONDO</t>
  </si>
  <si>
    <t>PT. TRAFO SOLUSI ENGINEERING</t>
  </si>
  <si>
    <t>Closing 3/10/2025, pemenang KSCM 5,1 M</t>
  </si>
  <si>
    <t>Pemasangan Extension Trafo 3 GI 150 kV Sidoarjo 60 MVA</t>
  </si>
  <si>
    <t>PT. Hasta Karya Perdana</t>
  </si>
  <si>
    <t>Closing 03/11/2025, kalah harga</t>
  </si>
  <si>
    <t>PENGADAAN DAN PEMASANGAN RELAI PROTEKSI BUSBAR DI GI 150 KV JEKULO, GI 150 KV BLORA, DAN GI 150 KV CEPU</t>
  </si>
  <si>
    <t>PT Cellindo Inti Perkasa, PT. GLOBAL TWINSTAR</t>
  </si>
  <si>
    <t>Closing 22/10/2025, Cellindo menang pakai KAK harga 400jt</t>
  </si>
  <si>
    <t>PEMBANGUNAN SUTT 150 KV TELUKJAMBE II – KTT INDAH KIAT</t>
  </si>
  <si>
    <t>Closing 06/11/2025, Mohon maaf, saat ini kami tidak dapat memberikan dukungan untuk project ini. Dikarenakan sama alamatnya seperti IAG</t>
  </si>
  <si>
    <t>PEMASANGAN EXTENSION TRAFO#2 GI 70 KV PLTA TULUNGAGUNG 30 MVA</t>
  </si>
  <si>
    <t>Closing 10/11/2025, kalah harga, mahatek 3% di bawah hps</t>
  </si>
  <si>
    <t>KSO PT. DALIMA PUTRA PERDANA – PT. BINA NOVITA, KSO PT. PURNAMA INDONESIA - PT. NIAGAMAS SETIAUSAHA, PT. KELINCI MAS UNGGUL</t>
  </si>
  <si>
    <t>Closing 31/10/2025, KMU tidak jadi ikut keputusan dari tim management, tgl 14/11 lolos sampul 1 :
SAJ
Twink
Dalima (v)
Hasta Karya (harga terendah)
Purnama (v)
Ankat
Citra bakti (v)
Citacontract
BPS (v)
Dalima (v)
QDC</t>
  </si>
  <si>
    <t>PEMBANGUNAN SKTT 150 KV TAMBUN II – TAMBUN</t>
  </si>
  <si>
    <t>Closing 27/11/2025, tidak ikut</t>
  </si>
  <si>
    <t>Pekerjaan Pembangunan SKTT 150 kV Tambun II – Tx Poncol Baru II</t>
  </si>
  <si>
    <t>Closing 27/11/2025,</t>
  </si>
  <si>
    <t>PEKERJAAN EXTENTION BAY KAPASITOR TERSEBAR DI WILAYAH UNIT INDUK TRANSMISI JAWA BAGIAN TIMUR DAN BALI</t>
  </si>
  <si>
    <t>Closing 27/10/2025, marul FU 02/12 cancel by manajemen IBP</t>
  </si>
  <si>
    <t>PENGADAAN DAN PEMASANGAN BAY REAKTOR 500 KV 100 MVAR DIAMETER 1 DI GITET KESUGIHAN</t>
  </si>
  <si>
    <t xml:space="preserve">PT. ENINDO ORBITAMA </t>
  </si>
  <si>
    <t xml:space="preserve">Closing tgl 26, masih menunggu KSO, FU mba laely 01/12 tidak ada respon </t>
  </si>
  <si>
    <t>Pekerjaan Pembangunan Transmisi Line 150 kV Bungah – Paciran</t>
  </si>
  <si>
    <t>PT. PLN NUSANTARA POWER CONSTRUCTION</t>
  </si>
  <si>
    <t>Closing 25 November
BBS pakai KPP
Hasta Praja tidak dapat jawaban dari management
Indisi pakai BES
Citramas pakai KPP
KAP
WST
Multifab</t>
  </si>
  <si>
    <t>Project Done</t>
  </si>
  <si>
    <t>GI 150 kV SINTANG</t>
  </si>
  <si>
    <t>Buanareksa</t>
  </si>
  <si>
    <t>PICK UP 25 JANUARI 2019, WAITING FOR PACKING LIST FROM PLP</t>
  </si>
  <si>
    <t>GI 150 kV KENDAWANGAN</t>
  </si>
  <si>
    <t>GI 150 kV APP PULOGADUNG</t>
  </si>
  <si>
    <t>KPG</t>
  </si>
  <si>
    <t>HV CONNECTOR</t>
  </si>
  <si>
    <t>GI 150 kV MATARAM</t>
  </si>
  <si>
    <t>STRING SET DAN HV CONNECTOR PROSES PRODUKSI</t>
  </si>
  <si>
    <t>CONTRACTOR REQUEST STRINGSET END OF JANUARY</t>
  </si>
  <si>
    <t>150KV GI CAWANG EXT</t>
  </si>
  <si>
    <t>CONTRACTOR REQUEST STRINGSET MID FEBRUARY</t>
  </si>
  <si>
    <t>Brian</t>
  </si>
  <si>
    <t>150KV GIS NUSA DUA HVC</t>
  </si>
  <si>
    <t>Sastra Mas</t>
  </si>
  <si>
    <t>Aco &amp; Brian</t>
  </si>
  <si>
    <t>275 kV TL SIGLI - ULEE KARENG (SECTION 1,2 DAN 3)</t>
  </si>
  <si>
    <t>BBC</t>
  </si>
  <si>
    <t>STRING SET DAN ACCESSORIES</t>
  </si>
  <si>
    <t>SECTION 1 (MINUS ARCH.HORN), SECTION 2 AND 3 NEED REPORT PROGRESS , TIME LEFT ONLY 1 MONTH</t>
  </si>
  <si>
    <t>150KV GIS GUNUNG SARI</t>
  </si>
  <si>
    <t>CONTRACTOR REQUEST MID FEBRUARI</t>
  </si>
  <si>
    <t>PROYEK TOL JAPEK 2 PHASE 2</t>
  </si>
  <si>
    <t>DCM</t>
  </si>
  <si>
    <t>PROSES PRODUKSI</t>
  </si>
  <si>
    <t>NEED ADVISE FROM PLP ABOUT PO REVISION, TIME LEFT ONLY 2 WEEKS</t>
  </si>
  <si>
    <t>Eko</t>
  </si>
  <si>
    <t>150 KV TL JABABEKA BABELAN</t>
  </si>
  <si>
    <t>STRINGSET DAN HV CONNECTOR, SUDAH PACKING</t>
  </si>
  <si>
    <t>WAITING SPACER 17 PCS</t>
  </si>
  <si>
    <t>150KV GI TJBT KAPASITOR 7 SITE</t>
  </si>
  <si>
    <t>TDKK</t>
  </si>
  <si>
    <t>STRINGSET, PROSES PACKING MINGGU INI</t>
  </si>
  <si>
    <t>NEED REPORT PACKING STATUS</t>
  </si>
  <si>
    <t>150KV GI PAMEKASAN STRING</t>
  </si>
  <si>
    <t xml:space="preserve">STRINGSET  </t>
  </si>
  <si>
    <t>NEED REPORT FROM PLP MATERIAL STATUS</t>
  </si>
  <si>
    <t>TL 150 kV Caruban Tower 51 - 52 (SOKER)</t>
  </si>
  <si>
    <t>Matrix</t>
  </si>
  <si>
    <t>STRINGSET &amp; Isulator</t>
  </si>
  <si>
    <t>End of Juni 2019</t>
  </si>
  <si>
    <t>Approval Drawing</t>
  </si>
  <si>
    <t>TL 150 kV Nganjuk - Caruban Tower 24 - 25 (SOKER)</t>
  </si>
  <si>
    <t>End of Mei 2019</t>
  </si>
  <si>
    <t>TL 500 kV Paket 1 dan 2 Additional</t>
  </si>
  <si>
    <t>STRINGSET</t>
  </si>
  <si>
    <t>End of 12 April 2019</t>
  </si>
  <si>
    <t>TL 150 kV KM 27 Cikarang Listrindo</t>
  </si>
  <si>
    <t>GI 150 kV Sopeng</t>
  </si>
  <si>
    <t>Dipajaya</t>
  </si>
  <si>
    <t>End Of 07 Juli 19</t>
  </si>
  <si>
    <t>TL 150 kV Krian - Manyar (KLBM)</t>
  </si>
  <si>
    <t>Belum terima Revisi PO dari kontraktor</t>
  </si>
  <si>
    <t>Siap di week 3</t>
  </si>
  <si>
    <t>Komunikasi dengan bu Zaki terkait komitment (Brian)</t>
  </si>
  <si>
    <t>CISUMDAWU PHASE 3 (Tower Permanent)</t>
  </si>
  <si>
    <t>Kedung Jaya</t>
  </si>
  <si>
    <t>Sudah Lunas</t>
  </si>
  <si>
    <t>TL 150 kV CK 26 Cikarang Listrindo</t>
  </si>
  <si>
    <t>ALHAS</t>
  </si>
  <si>
    <t xml:space="preserve">Aco </t>
  </si>
  <si>
    <t>Add Komponen Hawk</t>
  </si>
  <si>
    <t>GI 150 KV UNGARAN</t>
  </si>
  <si>
    <t>Celindo</t>
  </si>
  <si>
    <t>GI 150 kV PADANG SAMBIAN</t>
  </si>
  <si>
    <t>GIS 150 kV Jatake</t>
  </si>
  <si>
    <t>SKBDN sudah cair tgl 6 Desember 2019  (DONE)</t>
  </si>
  <si>
    <t>TL 150 kV Rengat Tembilahan</t>
  </si>
  <si>
    <t>End of Agustus 2019</t>
  </si>
  <si>
    <t>pembayaran 31 Desember 2019 DONe</t>
  </si>
  <si>
    <t>Ibu Sari</t>
  </si>
  <si>
    <t>GI 150 KV Balong Bendo</t>
  </si>
  <si>
    <t>15 Okt 2019</t>
  </si>
  <si>
    <t>Sudah PO, Giro sudah di bayar 27 Desember 2019</t>
  </si>
  <si>
    <t>Fuad &amp; Brian</t>
  </si>
  <si>
    <t>GITET 500 kV Kediri</t>
  </si>
  <si>
    <t>Mahakaam</t>
  </si>
  <si>
    <t>AO 11 Okt 2019</t>
  </si>
  <si>
    <t>Sudah PO, crosscheck pengambilan dari Pa Aksa ke Brian untuk PI dan Dics Insulator sudah di ambil giro nya sudah di serahkan di FU lgi mas brian</t>
  </si>
  <si>
    <t>Gi Balaraja</t>
  </si>
  <si>
    <t>Mahakam</t>
  </si>
  <si>
    <t>PI dan Connector</t>
  </si>
  <si>
    <t>kontraktor sudah PO ke Alam</t>
  </si>
  <si>
    <t>GI 150 kV Semen Grobogan</t>
  </si>
  <si>
    <t>kontrkator sudah PO stringset dan connector, kontraktor sudah ambil parsial stringset disc insulator dan PI kontraktor ambil parsial stringset cek sama PLP sore ini 6 Februari 2020
- pembayaran DP Sudah</t>
  </si>
  <si>
    <t>Minta PL Sore ini tgl 13 atau 14 februari 2020 akan diambil string nya dulu</t>
  </si>
  <si>
    <t>GI 150 kV Tolitoli</t>
  </si>
  <si>
    <t>Fuji SME</t>
  </si>
  <si>
    <t>End of Juli - Agustus 2019</t>
  </si>
  <si>
    <t>Toli toli Sudah d bayar</t>
  </si>
  <si>
    <t>Di ambil hari ini tgl 24 Februari 2020</t>
  </si>
  <si>
    <t>GI 150 kV Bangkir</t>
  </si>
  <si>
    <t>pembayaran giro akhir januari 2020 sudah bayar</t>
  </si>
  <si>
    <t>GI Suralaya, Cilegon Lama, PETDO</t>
  </si>
  <si>
    <t>KSCM</t>
  </si>
  <si>
    <t>sudah ada drawing nya</t>
  </si>
  <si>
    <t>TL 150 kV Ulee Kareng Krueng Raya Add1</t>
  </si>
  <si>
    <t>PO Kontraktor Minggu ini tgl 20 Januari 2020 sudah dibayar tgl 20 Februari 2020</t>
  </si>
  <si>
    <t>GI Cawang</t>
  </si>
  <si>
    <t>PT Elektrika</t>
  </si>
  <si>
    <t>Januari 2020</t>
  </si>
  <si>
    <t>GI 150 kV Labuhan</t>
  </si>
  <si>
    <t>sudah dibayar tgl 3 Maret 2020</t>
  </si>
  <si>
    <t>2 item Connector sudah selesai</t>
  </si>
  <si>
    <t>GI 150 kV BABAKAN BARU, Indramayu</t>
  </si>
  <si>
    <t>sudah di kirim ke site, pembayaran giro udah cair</t>
  </si>
  <si>
    <t xml:space="preserve">          </t>
  </si>
  <si>
    <t>TL 150 kV NEW BALIKPAPAN</t>
  </si>
  <si>
    <t>19 Maret 2020</t>
  </si>
  <si>
    <t>Relokasi Jababeka Babelan</t>
  </si>
  <si>
    <t>Dead End</t>
  </si>
  <si>
    <t>PLP Sudah kirim AO</t>
  </si>
  <si>
    <t>GIS 150 kV Ulin</t>
  </si>
  <si>
    <t>Distraco</t>
  </si>
  <si>
    <t xml:space="preserve">sudah PO </t>
  </si>
  <si>
    <t>GI Cikarang</t>
  </si>
  <si>
    <t>Stringset dan connector</t>
  </si>
  <si>
    <t>Material Cadang</t>
  </si>
  <si>
    <t>CCDE</t>
  </si>
  <si>
    <t>Aksesoris Tower</t>
  </si>
  <si>
    <t>Sudah Bayar</t>
  </si>
  <si>
    <t xml:space="preserve">Penggantian Insulator beserta Stringset Suspension </t>
  </si>
  <si>
    <t>UPT Salatiga (PT. Quinad Bahana Indonesia)</t>
  </si>
  <si>
    <t>Kontraktor sudah PO</t>
  </si>
  <si>
    <t>GI 150 KV KEBUMEN</t>
  </si>
  <si>
    <t>BBS&amp;Libratama</t>
  </si>
  <si>
    <t>STRINGSET, DISC INSULATOR, &amp; PI</t>
  </si>
  <si>
    <t xml:space="preserve">PL string set sudah ada, PL connector sudah
</t>
  </si>
  <si>
    <t>TL 150 kV - KCIC DK 125 (Kereta Api Cepat)</t>
  </si>
  <si>
    <t>sisanya pembayaran kurang 900 juta dan PO kurang dari 1000 insulator minggu ini diterima, barang blm di ambil masih menunggu keputusan gudang nya mereka</t>
  </si>
  <si>
    <t>material sudah siap di marunda sudah dambil</t>
  </si>
  <si>
    <t>ACSR Zebra Dead and Saglink</t>
  </si>
  <si>
    <t>PLN UPT Salatiga</t>
  </si>
  <si>
    <t>Penggantian Kawat Petir AS 120mm</t>
  </si>
  <si>
    <t>Sudah PO menunggu material dari PLP selesai akhir september</t>
  </si>
  <si>
    <t>GI 150 kV Tolinggula</t>
  </si>
  <si>
    <t>PO Pertama barang sudah diambil belum bayar, PO kedua Add masih di gudang belum di bayar, sudah bayar sebagian</t>
  </si>
  <si>
    <t>Rekonduktoring GSW 55 (UPT Gresik)</t>
  </si>
  <si>
    <t>+/- 340 Tower</t>
  </si>
  <si>
    <t>GI Bandara &amp; GI Palangkaraya</t>
  </si>
  <si>
    <t>Due Date PO 16/2/2021</t>
  </si>
  <si>
    <t>TL Ulee Kareng</t>
  </si>
  <si>
    <t>TL &amp; GI Banda Aceh</t>
  </si>
  <si>
    <t>Saptaguna</t>
  </si>
  <si>
    <t>Pengadaan Accesories AS UPT Purwokerto</t>
  </si>
  <si>
    <t>Done</t>
  </si>
  <si>
    <t>GI Mintin</t>
  </si>
  <si>
    <t>Pemasangan Proteksi Independent Ground Wire Transmisi 150kV</t>
  </si>
  <si>
    <t>SSA (Sarindo Sukses Asia)</t>
  </si>
  <si>
    <t>Komponen Stringset &amp; Insulator</t>
  </si>
  <si>
    <t>PO Insulator sudah (Lunas)</t>
  </si>
  <si>
    <t>Stringset dan Jasa Penggantian GSW Switchyard pada GI Cibinong - UPT Bogor</t>
  </si>
  <si>
    <t>KSO Panda Wangi - MCPU</t>
  </si>
  <si>
    <t>UPT Purwokerto (Kesugihan - Lomanis)</t>
  </si>
  <si>
    <t>26 Juni 2021</t>
  </si>
  <si>
    <t>UPT Purwokerto (Purworejo - Kebumen)</t>
  </si>
  <si>
    <t>UPT Purwokerto (Balapulang - Bumiayu)</t>
  </si>
  <si>
    <t>KHS - Pengadaan dan Pemasangan Stringset di UPT Salatiga</t>
  </si>
  <si>
    <t>CDU</t>
  </si>
  <si>
    <t>Baut dengan 3 ukuran masing2 76 pcs dikembalikan ke PLP</t>
  </si>
  <si>
    <t>Pengadaan String Set Earth Wire dan Jasa Penggantian string set beserta GSW yang Korosif</t>
  </si>
  <si>
    <t>Mega Alfarizki</t>
  </si>
  <si>
    <t>GI Cilegon</t>
  </si>
  <si>
    <t>HVC dan Stringset</t>
  </si>
  <si>
    <t>11 Juni 2021</t>
  </si>
  <si>
    <t>Penggantian IBT GI Wayang Windu dan Cigelereng</t>
  </si>
  <si>
    <t>String Set Connector</t>
  </si>
  <si>
    <t>PO additional belum selesai</t>
  </si>
  <si>
    <t>menunggu AO dari PLP</t>
  </si>
  <si>
    <t>GI Stara</t>
  </si>
  <si>
    <t>PT. Cahaya Karya Sentosa</t>
  </si>
  <si>
    <t>Material Komponen</t>
  </si>
  <si>
    <t>2 Juli 2021</t>
  </si>
  <si>
    <t xml:space="preserve">sudah lunas </t>
  </si>
  <si>
    <t>GI Stara Add</t>
  </si>
  <si>
    <t>SOH</t>
  </si>
  <si>
    <t>sudah PO ke ALAM</t>
  </si>
  <si>
    <t>Baut GISTET Adipala</t>
  </si>
  <si>
    <t>Baut</t>
  </si>
  <si>
    <t>GI 150 kV PLTU Gresik (Ext)</t>
  </si>
  <si>
    <t>- HVC : 10 Juni 2021
- Stringset : 28 Juli 2021</t>
  </si>
  <si>
    <t>menunggu PO add</t>
  </si>
  <si>
    <t>barang sudah diambil, cover giro 31/12/2021</t>
  </si>
  <si>
    <t>Penggantian Kawat Petir Pedan - Klaten</t>
  </si>
  <si>
    <t>Komponen Stringset</t>
  </si>
  <si>
    <t>Operasional Masih OFF</t>
  </si>
  <si>
    <t>FU lagi ke kontraktor</t>
  </si>
  <si>
    <t>Pengadaan Armor Rods</t>
  </si>
  <si>
    <t>PT. Wikon</t>
  </si>
  <si>
    <t>Armor Rod</t>
  </si>
  <si>
    <t xml:space="preserve">Masih Proses Penagihan </t>
  </si>
  <si>
    <t>Material dikirim tgl 16 Maret 2021</t>
  </si>
  <si>
    <t>menunggu pembayaran</t>
  </si>
  <si>
    <t>GI Semen Grobogan Add</t>
  </si>
  <si>
    <t>menunggu giro dari kontraktor, material sudah dikirimkan</t>
  </si>
  <si>
    <t>barang sudah diambil, cover giro 11/9/2021</t>
  </si>
  <si>
    <t>Pengadaan Material Shackle dan Turnbuckle 120 kN</t>
  </si>
  <si>
    <t>PT PLN UPT PURWOKERTO</t>
  </si>
  <si>
    <t>- Turnbuckle: Akhir September</t>
  </si>
  <si>
    <t>material selesai 15 September, denda 1% per hari keterlambatan, rencana kirim paling lambat 15-16 September, kontrak habis 22 Agustus 2021</t>
  </si>
  <si>
    <t>Baut UPT Salatiga</t>
  </si>
  <si>
    <t>pengiriman selesai, pembayaran akhir bulan (Agustus 2021)</t>
  </si>
  <si>
    <t>SPACER JOINT Pemalang - Ungaran Mandirancan</t>
  </si>
  <si>
    <t>spacer joint</t>
  </si>
  <si>
    <t>20 Agustus 2021</t>
  </si>
  <si>
    <t>sudah DP, menunggu info material selesai dari PLP (harusnya 20 Agustus 2021), Keu siapkan Proforma Invoice</t>
  </si>
  <si>
    <t>GI SURABAYA BARAT</t>
  </si>
  <si>
    <t>Binabuana Sewaka</t>
  </si>
  <si>
    <t>sudah DP 2 Agustus 2012</t>
  </si>
  <si>
    <t>menunggu material selesai</t>
  </si>
  <si>
    <t>PSPP PAPUA</t>
  </si>
  <si>
    <t>Mitratek Bangun Gemilang</t>
  </si>
  <si>
    <t>meminta percepatan 31 Agustus 2021</t>
  </si>
  <si>
    <t>material selesai 7 September 2021</t>
  </si>
  <si>
    <t>Accessories AS UPT Salatiga</t>
  </si>
  <si>
    <t>Partial Shipment</t>
  </si>
  <si>
    <t>sudah DP, bayar yang sudah siap</t>
  </si>
  <si>
    <t>material sudah siap, menunggu pembayaran dari GTS
 (pembayaran ke-3; 56.795.654)</t>
  </si>
  <si>
    <t>Pengadaan Shackle 210 kN</t>
  </si>
  <si>
    <t>sudah mengeluarkan SPK (due date 16-Okt-2021)</t>
  </si>
  <si>
    <t>menunggu best price PLP</t>
  </si>
  <si>
    <t>PEMBANGUNAN BAY KAPASITOR 25 MVAR GARDU INDUK 150 KV BATULICIN</t>
  </si>
  <si>
    <t>PT Lembah Sentral Elektrindo</t>
  </si>
  <si>
    <t>sudah PO, Stringset belum di ambil</t>
  </si>
  <si>
    <t>Menunggu Pengambilan Stringset</t>
  </si>
  <si>
    <t>pembayaran sudah lunas</t>
  </si>
  <si>
    <t>PENGANTIAN KAWAT GSW DALAM RANGKA PENGGANTIAN DAN PENYEMPURNAAN PERALATAN INSTALASI DI UPT PULOGADUNG</t>
  </si>
  <si>
    <t>KSO KARYA PUTRA GEMILANG &amp; PT MEDIAN ELEKTRA PERKASA</t>
  </si>
  <si>
    <t>Awal Maret</t>
  </si>
  <si>
    <t>Lunas 100%</t>
  </si>
  <si>
    <t>material dari Sicame selesai di 31 Maret 2022, Invoice minta di siapakan ke Bagian Keuangan, minta Packing List</t>
  </si>
  <si>
    <t>PEMINDAHAN PANEL KONTROL DAN PROTEKSI DI GARDU INDUK GUDANG GARAM</t>
  </si>
  <si>
    <t>PT Global Twin Star</t>
  </si>
  <si>
    <t>STRINGSET + Insulator</t>
  </si>
  <si>
    <t>18 Maret 2022</t>
  </si>
  <si>
    <t>info diambil awal bulan April</t>
  </si>
  <si>
    <t>menunggu pengambilan material oleh kontraktor di PLP dan Insulator di Gudang UGC</t>
  </si>
  <si>
    <r>
      <t xml:space="preserve">PENGADAAN SHACKLE 120 KN DAN BALL EYE 120 KN UNTUK
PENGGANTIAN AKSESORIF KOROSIF
Nomor : </t>
    </r>
    <r>
      <rPr>
        <b/>
        <sz val="16"/>
        <color theme="1"/>
        <rFont val="Calibri"/>
        <family val="2"/>
        <scheme val="minor"/>
      </rPr>
      <t>007.SPKPB/DAN.01.01/C35050000/2022</t>
    </r>
  </si>
  <si>
    <t>PLN UPT PURWOKERTO</t>
  </si>
  <si>
    <t>minta TPG &amp; TKDN ke PLP, minta pengambilan material di tgl 18 April 2022
Approval TPG Belum diberikan PLN</t>
  </si>
  <si>
    <r>
      <t xml:space="preserve">PENGADAAN TURN BUCKLE 120 KN, SUSPENSION CLAMP GSW, STRAIN CLAMP GSW UNTUK PENGGANTIAN AKSESORIS KOROSIF
</t>
    </r>
    <r>
      <rPr>
        <b/>
        <sz val="16"/>
        <color theme="1"/>
        <rFont val="Calibri"/>
        <family val="2"/>
        <scheme val="minor"/>
      </rPr>
      <t>008.SPKPB/DAN.01.01/C35050000/2022</t>
    </r>
  </si>
  <si>
    <t>Done, menunggu Payment</t>
  </si>
  <si>
    <t>minta dokumen legal AI dan pembanding INA</t>
  </si>
  <si>
    <t>estimasi pengiriman tanggal 18 April 2022</t>
  </si>
  <si>
    <t>PENGGANTIAN KAWAT GSW BESERTA STRINGSET SUTT 150 KV WILAYAH UPT DURIKOSAMBI TAHUN 2021 PENANGANAN TOWER KRITIS DAN PENGAMANAN ASET SALURAN TRANSMISI DI WILAYAH UPT DURIKOSAMBI PAKET 1</t>
  </si>
  <si>
    <t>Sudah PO, sudah bayar sebagian (material parsial)</t>
  </si>
  <si>
    <t>material sudah di pick up parsial (22 April 2022), sisa 1 item</t>
  </si>
  <si>
    <t>Warning Ball tiba Mei 18 2022, sesuai PL ke PLP</t>
  </si>
  <si>
    <t>menunggu info dari PLP</t>
  </si>
  <si>
    <t>PENGADAAN DAN PEMASANGAN BAY REAKTOR 30 MVAR GARDU INDUK 150 KV KUARO</t>
  </si>
  <si>
    <t>menunggu konfirmasi kapan di pick up</t>
  </si>
  <si>
    <t>konfirmasi update status GIG</t>
  </si>
  <si>
    <t>Dibuatkan packing list
Insulator apakah pake GIG/ABI</t>
  </si>
  <si>
    <t>Gelwin</t>
  </si>
  <si>
    <t>sudah lunas</t>
  </si>
  <si>
    <r>
      <t xml:space="preserve">PENGADAAN U-BOLT GSW 120 KN , SOCKET CLEVIS 120 KN, EYE
LINK 120 KN, TONGUE SOCKET 120 KN UNTUK PENGGANTIAN
AKSESORIS KOROSIF
</t>
    </r>
    <r>
      <rPr>
        <b/>
        <sz val="16"/>
        <color theme="1"/>
        <rFont val="Calibri"/>
        <family val="2"/>
        <scheme val="minor"/>
      </rPr>
      <t>006.SPKPB/DAN.01.01/C35050000/2022</t>
    </r>
  </si>
  <si>
    <t>SPK</t>
  </si>
  <si>
    <t>socket tongue masih belum diterima terkait perkapuran, menunggu report tertulis dari bagian Mutu PLN (jumlah reject dan diterima)</t>
  </si>
  <si>
    <t>material socket tongue produksi baru selesai +/- 11 - 18 Mei 2022 (import)</t>
  </si>
  <si>
    <t>denda keterlambatan 10.000.000</t>
  </si>
  <si>
    <t>menunggu pembayaran dari PLN</t>
  </si>
  <si>
    <t>Rekonduktoring Busbar sisi Bay 150 kV IBT 4 dari 1xTAL 850 menjadi 2xTAL 850</t>
  </si>
  <si>
    <t>PO</t>
  </si>
  <si>
    <t>menunggu pembayaran pick up hari jumat 17 Juni 2022</t>
  </si>
  <si>
    <t>Perbaikan Konduktor Rantas - ACSR 240mm2</t>
  </si>
  <si>
    <t>LUNAS</t>
  </si>
  <si>
    <t>CAHAYA KARYA BERSAMA, PT</t>
  </si>
  <si>
    <t>ACCESSORIES</t>
  </si>
  <si>
    <t>tinggal kirim</t>
  </si>
  <si>
    <t>Penggantian Kabel Power di Wilayah UPT Durikosambi Tahun 2022</t>
  </si>
  <si>
    <t>Post insulator 33kv+triangle</t>
  </si>
  <si>
    <t>PENGADAAN DAN PEMASANGAN RELAY BUSBAR PROTECTION DI 5 GI</t>
  </si>
  <si>
    <t>menunggu PO kontraktor</t>
  </si>
  <si>
    <t>Beli baut 3000 pcs (Galvanized)</t>
  </si>
  <si>
    <t>Renewal Corona Ring 275kV</t>
  </si>
  <si>
    <t>PO kontraktor</t>
  </si>
  <si>
    <t>PT MULTI PRATAMAINDO</t>
  </si>
  <si>
    <t>FITTING</t>
  </si>
  <si>
    <t>estimasi material sampai site hari Rabu/Kamis (31/1)</t>
  </si>
  <si>
    <t>on progress</t>
  </si>
  <si>
    <t>menunggu pengiriman menuju Site, minta Dokumentasi ke forwarder</t>
  </si>
  <si>
    <t>Pembayaran sudah selesai</t>
  </si>
  <si>
    <t>MacLean</t>
  </si>
  <si>
    <t xml:space="preserve">REKONFIGURASI GI 150 KV NAGAN RAYA </t>
  </si>
  <si>
    <t>PT SAPTAGUNA UTAMA</t>
  </si>
  <si>
    <t>STRINGSET, FITTING &amp; INSULATOR</t>
  </si>
  <si>
    <t>Stringset 26 Agustus 2022 Insulator 16 September 2022</t>
  </si>
  <si>
    <t>Siapkan baut dan post insulator dan disk insulator dan packing list</t>
  </si>
  <si>
    <t>PENGGANTIAN MTU CB DALAM RANGKA PENGGANTIAN DAN PENYEMPURNAAN PERALATAN INSTALASI DI WILAYAH UIT JBB - UPT DURIKOSAMBI TAHUN 2022</t>
  </si>
  <si>
    <t>Menunggu konfirmasi kontraktor untuk di pick up, menunggu pembayaran dari alam</t>
  </si>
  <si>
    <t>Material sudah diterima  oleh DCI</t>
  </si>
  <si>
    <t>Post Insulator 150 Kv</t>
  </si>
  <si>
    <t>Sejahtera Mulya Kencana,PT</t>
  </si>
  <si>
    <t>Invoice Pelunasan</t>
  </si>
  <si>
    <t>TRANSPORTASI DAN PENGGESERAN IBT KE -5 GITET KRIAN</t>
  </si>
  <si>
    <t>PT KARYASEMBADA CIPTAMANDIRI</t>
  </si>
  <si>
    <t>Tanggal 21 Oktober 2022 sudah pelunasan</t>
  </si>
  <si>
    <t>surat pernyataan sedang produksi dan selesai sesuai SOA</t>
  </si>
  <si>
    <t>Maintenance SUTET 500kV Suralaya-Balaraja</t>
  </si>
  <si>
    <t>Invoice pelunasan SOA 224875</t>
  </si>
  <si>
    <t>- menunggu PO ke PLP barang sudah ready &amp; menunggu kontraktor mengambil material</t>
  </si>
  <si>
    <t>Kekurangan insulator sudah dikirim ke surabaya 16/11/2022 sudah sampai ke makasar perkiraan 26/11/2022 - 28/11/2022</t>
  </si>
  <si>
    <t>stock &amp; order PLP</t>
  </si>
  <si>
    <t>Ikhbal
Pak Dedy</t>
  </si>
  <si>
    <t>Tanggal Giro 14 November 2022</t>
  </si>
  <si>
    <t>PEMBUATAN CAPING SERANDANG ULTG TEGAL</t>
  </si>
  <si>
    <t>On-progress</t>
  </si>
  <si>
    <t>Valid kontrak jumat minggu ini</t>
  </si>
  <si>
    <t>Menunggu pembayaran dari PLN dan BAST tahap 2 diselesaikan di bulan november</t>
  </si>
  <si>
    <t>Splice Hunt</t>
  </si>
  <si>
    <t>Masera Abadi Utama, PT</t>
  </si>
  <si>
    <t>Invoice DP SOA 224969(29/11/2022), DP 30% Sudah, Pak dedy mencari forwarder ke ULTG Mojokerto</t>
  </si>
  <si>
    <t>Pengadaan untuk penggantian aksesoris earth wire korosif tindak lanjut hasil CUI ruas prioritas ULTG Purwokerto</t>
  </si>
  <si>
    <t>Kontrak sudah ada, menunggu persyaratan dipenuhi</t>
  </si>
  <si>
    <t>Menunggu TKDN dan CSMS</t>
  </si>
  <si>
    <t>Tukar guling sudah selesai diserahkan ke ULTG Hari kamis tanggal 8 Desember 2022</t>
  </si>
  <si>
    <t xml:space="preserve">Additional REKONFIGURASI GI 150 KV NAGAN RAYA </t>
  </si>
  <si>
    <t>SAPTA GUNA UTAMA, PT</t>
  </si>
  <si>
    <t>SOA 224938 (13/12/2022) Material sudah dikirim, dan baut sudah dikirim</t>
  </si>
  <si>
    <t xml:space="preserve"> REPOSISI KONDUKTOR TOWER TEA.1 PULOMAS-PEGANGSAAN 1,2 DAN TA.1 PENGANGSAAN - PULOGADUNG 1,2</t>
  </si>
  <si>
    <t>PT KARYA PUTRA GEMILANG</t>
  </si>
  <si>
    <t>Akhir Mei</t>
  </si>
  <si>
    <t>menunggu update status GIG</t>
  </si>
  <si>
    <t>Menunggu revisi project page Alam (Pak Uky)</t>
  </si>
  <si>
    <t>Ikhbal</t>
  </si>
  <si>
    <t>Closing PO di project page, Barang GIG Insulator menjadi stock dan adjust project page menunggu close akhir tahun</t>
  </si>
  <si>
    <t>Add UPRATING BUSBAR 150KV GI PINAYUNGAN</t>
  </si>
  <si>
    <t>Diambil tanggal 20 January 2023 payment sudah lunas</t>
  </si>
  <si>
    <t>Menunggu pick up, sudah bayar</t>
  </si>
  <si>
    <t>Nabil</t>
  </si>
  <si>
    <t>Kontraktor sudah PO, Material sudah diambil sama kontraktor</t>
  </si>
  <si>
    <t>Revisi PO pengurangan QTY sehingga kontraktor lebih bayar akan di compare PO berikutnya kelebihan senilai 10.771.218</t>
  </si>
  <si>
    <t>Euis</t>
  </si>
  <si>
    <t xml:space="preserve">Additional 2 GI Pinayungan </t>
  </si>
  <si>
    <t>menunggu pencairan cek tanggal 13 Maret 2023</t>
  </si>
  <si>
    <t>Additional 2 GI Bunta</t>
  </si>
  <si>
    <t>Material diambil 14 Maret 2023</t>
  </si>
  <si>
    <t>KSO Tesla Daya Elektrika - Persada Indah Muda, PT</t>
  </si>
  <si>
    <t>Material sudah diambil tgl 13 April 2023, Pembayaran sudah lunas</t>
  </si>
  <si>
    <t>Mengkonfirmasi ke PLP terkait dead end grip dan armour rod disesuaikan panjangnya, jika tidak bisa fasilitasi untuk zoom</t>
  </si>
  <si>
    <t>Material sudah diambil ditgl 17 April 2023, GIRO sudah cair tanggal 16 Mei 2023</t>
  </si>
  <si>
    <t>GI Segoromadu</t>
  </si>
  <si>
    <t>kirim drawing ke pak zaenal, info pak dody sedang approval ke PLN akan dikirimkan ke alam minggu ini
note: bahwa di FU oleh (NR Electric/Nari), SOA 12 Juni 2023 pelunasan sudah dikirim tanggal 25 Mei 2023, hari jumat tgl 9 Juni 2023 barang sudah di pick up</t>
  </si>
  <si>
    <t>Pekerjaan Pemindahan beban 70 kV Maspion dari GIS 150 KV Waru ke GI 150 KV Buduran
(Rekonfigurasi T.13 &amp; Ekstension IBT#2) terkait GISTET 500 kV Waru</t>
  </si>
  <si>
    <t>Material &amp; baut sudah diambil tanggal 15 Juni 2023 pembayaran sudah lunas</t>
  </si>
  <si>
    <t>Material sudah diambil tgl 14 Juni dan GIROnya tgl 12 Juli 2023</t>
  </si>
  <si>
    <t>PEMBANGUNAN BAY KAPASITOR 1X25 MVAR UPT KALSELTENG I
PT PLN (PERSERO) UNIT INDUK PEMBANGKITAN DAN PENYALURAN KALIMANTAN</t>
  </si>
  <si>
    <t xml:space="preserve">Sudah PO </t>
  </si>
  <si>
    <t>PT. LEMBAH SENTRAL ELEKTRONINDO</t>
  </si>
  <si>
    <t>Barang sudah diambil tanggal 21 Juli 2023</t>
  </si>
  <si>
    <t>Menunggu site survey 19 Januari 2023</t>
  </si>
  <si>
    <t>Kencana Alam Putra, PT (NR Electric)</t>
  </si>
  <si>
    <t>Sedang di pick up hari ini 24 Juli 2023</t>
  </si>
  <si>
    <t>Pemasangan cover manometer PMT AIS di wilayah ultg tangerang kota</t>
  </si>
  <si>
    <t>Sudah dibayar</t>
  </si>
  <si>
    <t>Pengadaan Perangkap binatang di Gardu Induk</t>
  </si>
  <si>
    <t>sudah dibayar</t>
  </si>
  <si>
    <t>Jasa untuk penanganan Gangguan binatang GI Wadaslintang</t>
  </si>
  <si>
    <t>Pengadaan peralatan dan perlengkapan gardu induk dan ultg di wilayah duri kosambi</t>
  </si>
  <si>
    <t>Sudah upload VIP, sudah di approve menunggu pembayaranFU teh sisil tanggal 3 Agustus 2023,sudah dibayar tanggal 18 Juni 2023</t>
  </si>
  <si>
    <t>HV Connector dan Spacer</t>
  </si>
  <si>
    <t>PT. Sinohydro</t>
  </si>
  <si>
    <t>Material sudah dikirim tanggal 8 Agustus ddengan JNT</t>
  </si>
  <si>
    <t>Pemasangan Jaring anti panjat hewan pada pagar swicthyard gardu induk di wilayah duri kosambi</t>
  </si>
  <si>
    <t>Sudah verifikasi keuangan menunggu TTD  MULTG durikosambi dan cikupa Selasa FU Teh Sisil 25 Juli 2023, sudah pembayaran tgl 16 Agustus 2023</t>
  </si>
  <si>
    <t>Best Energy System,PT</t>
  </si>
  <si>
    <t>Material sudah diambil rabu 16 Agustus 2023</t>
  </si>
  <si>
    <t>PEMBANGUNAN BAY KAPASITOR 1X25 MVAR UPT KALSELTENG II
PT PLN (PERSERO) UNIT INDUK PEMBANGKITAN DAN PENYALURAN KALIMANTAN</t>
  </si>
  <si>
    <t>Barang sudah diambil tgl 31 Agustus 2023 payment sudah 100% lunas</t>
  </si>
  <si>
    <t xml:space="preserve">Sudah Po menunggu approval drawing, drawing diinfokan ke kontraktor,  submit update harga, </t>
  </si>
  <si>
    <t>REKONDUKTORING GOMBONG KESUGIHAN</t>
  </si>
  <si>
    <t>PT. ELEKTRA MEGA MANDIRI</t>
  </si>
  <si>
    <t>sudah diambil payment sudah lunas 100%</t>
  </si>
  <si>
    <t>Pengadaan Spare Material Armour Rod GSW dan OPGW</t>
  </si>
  <si>
    <t>Duta Cakrawala Indonesia</t>
  </si>
  <si>
    <t>SOA 14 September menunggu surat pernyataan ke PLP</t>
  </si>
  <si>
    <t>material sidah diambil pembayaran sudah lunas 15 sepetmeber 2023</t>
  </si>
  <si>
    <t>Cirata 145MW Floating Solar Power Project</t>
  </si>
  <si>
    <t>Sino Hydro</t>
  </si>
  <si>
    <t>menunggu SOA dari PLP</t>
  </si>
  <si>
    <t>material sudah diambil 11 september</t>
  </si>
  <si>
    <t>PENGADAAN PG CLAMP UNTUK PENANGANAN ANOMALI HOTSPOT</t>
  </si>
  <si>
    <t>PT PLN UPT Semarang</t>
  </si>
  <si>
    <t xml:space="preserve">SOA 25 Agustus 2023, hitung dan pengiriman </t>
  </si>
  <si>
    <t>VIP sudah di upload tgl 15 september 2023, menunggu pembayaran</t>
  </si>
  <si>
    <t>Pengadaan Saglink 120kN dan Baut</t>
  </si>
  <si>
    <t>PLN UPT Purwokerto</t>
  </si>
  <si>
    <t>material sudah dikirim 21 September 2023 , VIP sudah di upload pembayaran sudah lunas</t>
  </si>
  <si>
    <t>GITET WOTU</t>
  </si>
  <si>
    <t>PT. Kelinci Mas Unggul</t>
  </si>
  <si>
    <t>Sudah PO menunggu approval drawing lead time 3-6 minggu</t>
  </si>
  <si>
    <t>Sudah PO ke PLP Ready stock. Pembayaran sudah lunas</t>
  </si>
  <si>
    <t>PO Almunium Alloy</t>
  </si>
  <si>
    <t>PT. Multi Aresta Teknik</t>
  </si>
  <si>
    <t>Sudah PO menunggu DP</t>
  </si>
  <si>
    <t>Sudah PO ke PLP. Pembayaran sudah lunas</t>
  </si>
  <si>
    <t>Relokasi Tower 500 kV Cibubur (tidak termasuk insulator)</t>
  </si>
  <si>
    <t>sudah lunas material sudah diambil tgl 19 Oktober</t>
  </si>
  <si>
    <t>Pengadaan material untuk penggantian meter analog di GIS Cipinang, GIS Pondok Kelapa, GIS Danayasa, dan GITET Gandul</t>
  </si>
  <si>
    <t>PLN UPT Cawang</t>
  </si>
  <si>
    <t>kontrak 9 november 2023, sudah pembayaran</t>
  </si>
  <si>
    <t>Pembuatan Tutup Bordes Kabel Ruang GIS Tanah Tinggi, GIS Senayan dan GIS Karet Baru Dalam Rangka Tindak Lanjut Hasil Temuan Inspekta di Wilayah UPT Pulogadung</t>
  </si>
  <si>
    <t>Termin 1nya sudah dibayar 95% dokumen termin 2 sudah dibayar 5%</t>
  </si>
  <si>
    <t>PEST CONTROL PEMASANGAN PENGHALANG BINATANG GEDUNG KONTROL 500 KV</t>
  </si>
  <si>
    <t>PLN UPT Bekasi</t>
  </si>
  <si>
    <t>pemeriksaan material 22 Agustus 2023</t>
  </si>
  <si>
    <t xml:space="preserve">termin 1 sudah pembayaran, BASMP &amp; BASTP 2 minggu ini, Termin 2 sudah di upload tgl 17 Nov menunggu pembayaran </t>
  </si>
  <si>
    <t>PERBAIKAN PENTANAHAN BERNILAI BURUK SUTET/SUTT DI UPT MADIUN</t>
  </si>
  <si>
    <t>harga blm termasuk PPN</t>
  </si>
  <si>
    <t>PIM menang, masih menunggu TTD kontrak</t>
  </si>
  <si>
    <t>kontraktor sudah PO, INA sudah PO ke Sicame menunggu DP, Invoice sudah dikirimkan, DP belum di FU kembali telfon hari ini 20 Nov, barang sudah diambil 27 November</t>
  </si>
  <si>
    <t>Penyempurnaan kabel power 20kV Trafo 3 GI Citra habitat</t>
  </si>
  <si>
    <t>termin 1 &amp; 2 diperkirakan pembayaran di minggu ini akhir nov 2023</t>
  </si>
  <si>
    <t>PLN UPT Duri Kosambi</t>
  </si>
  <si>
    <t xml:space="preserve">pembayaran sudah </t>
  </si>
  <si>
    <t>BAST 1 &amp; BAST 2 sedang pengecekan di keuangan UPT Durikosambi, menunggu info dari bu wiwit jika sudah dibantu proses ttd akan diinfokan tgl kwitansi permohonan pembayaran dan faktur pajak</t>
  </si>
  <si>
    <t>Pengadaan peralatan kerja gardu induk diwilayah kerja UPT Pulogadung tahun 2023</t>
  </si>
  <si>
    <t>SPK  menunggu TTD PLN, pembayaran sudah lunas</t>
  </si>
  <si>
    <t>status di VIP menunggu verifikasi dikantor pusat</t>
  </si>
  <si>
    <t>Additional Relokasi Tower 500 kV Cibubur</t>
  </si>
  <si>
    <t>KSO Kedung Jaya - PT Sigeaon Indah Mandiri</t>
  </si>
  <si>
    <t>sudah FAT barang sudah diambil sudah dibayar lunas</t>
  </si>
  <si>
    <t>material sudah selesai minta FAT tgl 27 Nov 2023</t>
  </si>
  <si>
    <t>Jumper Lug AS 70</t>
  </si>
  <si>
    <t>sudah diambil 1 desember</t>
  </si>
  <si>
    <t>Kontraktor sudah PO, sudah DP, SOA 29 Nov</t>
  </si>
  <si>
    <t>Penggantian Line Drpper, penggantian LA Bay Bekasi #1,2 di GIS marunda dan Pembongkaran wave Trap di GI Bekasi dan GIS Marunda</t>
  </si>
  <si>
    <t>menunggu scan BA dari UPT</t>
  </si>
  <si>
    <t>Closing 13 November 2023, supporting sudah diserahkan, menunggu draft BA, sudah submit VIP 5 desember,  tgl 15 Des sudah dibayar termin 1 dan 2</t>
  </si>
  <si>
    <t>sudah DP 20% material sudah diambil tanggal 6 Feb 2024dan sudah pelunasan</t>
  </si>
  <si>
    <t>material sudah diambil tgl 29 pembayaran sudah100%</t>
  </si>
  <si>
    <t>sudah pembayaran tinggal Bapak cek sudah masuk atau belum di BNI INA</t>
  </si>
  <si>
    <t>Insulator Laely PO Hari ini, sudah DP 20%, sudah PO material insulator ready diakhir february 2024, Pelunasan 45 hari alam sebelum barang diambil, sewa penyimpanan gudang 200.000 / hari, Material sudah diambil tgl 27 Maret 2024, Sudah Lunas</t>
  </si>
  <si>
    <t>Sudah PO Menunggu approval drawing dari Antam, Barang sudah diambil tgl 26 Maret 2024, GIRO 1 Bulan</t>
  </si>
  <si>
    <t>Sudah PO, Sudah DP, Kontraktor minta material selesai bulan February tgl 22 diemail kembali untuk minta progres dan SOAnya, schecdule material sudah dikirim, Foto progress material tidak diberikan, permintaan parsial hvc bulan feb, SOA 22 Maret 2024, Minggu depan di email masih on schecdule atau tidak, barang sudah diambil tgl 26 Maret jatuh tempo GIRO 24 April</t>
  </si>
  <si>
    <t>PENGGANTIAN GSW RANTAS SPAN EA32 - GANTRY SUTT 150 KV KEMBANGAN - PETUKANGAN #1</t>
  </si>
  <si>
    <t>sudah ngirim ada revisi tgl format BASTP, kita minta TTD, menunggu scan upload VIP</t>
  </si>
  <si>
    <t>uang sudah masuk 14 Juni</t>
  </si>
  <si>
    <t>barang sudah dikirim semua, sudah pembayaran 7 juni</t>
  </si>
  <si>
    <t>PEMASANGAN PENGHALANG BINATANG GEDUNG GIS NEW TAMBUN DAN GIS NEW PONCOL</t>
  </si>
  <si>
    <t>Poncol done Tambun mulai 23 April PL sampai 29 Mei 2024, menunggu pembayaran sudah upload VIP</t>
  </si>
  <si>
    <t>UPT BEKASI</t>
  </si>
  <si>
    <t>Poncol sudah selesai Bekasi tgl 22 Mei 2024, Habis lebaran Bikin WP Bekasi</t>
  </si>
  <si>
    <t>sudah dibayar 24 Juni</t>
  </si>
  <si>
    <t>ADDITIONAL PENGADAAN DAN PEMASANGAN 1 BAY REAKTOR 30 MVAR</t>
  </si>
  <si>
    <t>material sudah diambil dan dibayar</t>
  </si>
  <si>
    <t>sisa utang sekitar 290jt, 01 July mau dibayarkan</t>
  </si>
  <si>
    <t>Sudah DP 10%, GIRO 30 January 2024 minta dicicil 300.000.000 sebelum lebaran, akhir april dicicil 250jt, sisa cicilan berapa tiara? Masih proses invoice, tiara 19 juni kapan dan cicilannya berapa, sudah lunas</t>
  </si>
  <si>
    <t>Pemenang tender GTS, Kontraktor Sudah PO dan Sudah DP, SOA 24 Mei 2024</t>
  </si>
  <si>
    <t>barang sudah diambil, tiara konfirmasi via email GIRO 7 Juli</t>
  </si>
  <si>
    <t>UPRATING LINE BAY GI 150KV BABAT DAN GI 150KV LAMONGAN (Stringset)</t>
  </si>
  <si>
    <t>sdh diambil 7 Juni</t>
  </si>
  <si>
    <t>Insulatornya ABI Stringsetnya PLP, masih menunggu klarifikasi teknikal, Sudah PO dan Sudah DP 20% SOA tgl 5 Juni 2024</t>
  </si>
  <si>
    <t>GIRO sdh cair</t>
  </si>
  <si>
    <t>JASA PEMASANGAN MULTI DIRECK GROUNDING DAN COUNTER POISE</t>
  </si>
  <si>
    <t>update VIP sudah, sudah dibayar tgl 26 Jul</t>
  </si>
  <si>
    <t xml:space="preserve">Pekerjaan sudah selesai proses BAST Menunggu format dari kontruksi </t>
  </si>
  <si>
    <t>menunggu retensi 90 hari 3 Juli, sudah dibikinkan surat pemelihraan, VIP sdh dikirim ke pak komo dan sedang di iderkan untuk ttd</t>
  </si>
  <si>
    <t>Modifikasi Pentanahan Langsung pada Tower SUTT 150 kV di Wilayah Kerja ULTG Pulogadung Tahun 2024</t>
  </si>
  <si>
    <t>PL (Supporting)</t>
  </si>
  <si>
    <t>pengajuan supporting, SPK, proses penagihan, 12 Jul Upload VIP, menunggu verifikasi keuangan PLN untuk termin 1 &amp; 2, 100% sdh dibayar</t>
  </si>
  <si>
    <t>Additional Jasa EPC Pembangunan Gardu Induk 150kV untuk Penyambungan Tenaga Listrik PLN ke UBPN Kolaka</t>
  </si>
  <si>
    <t>sudah dicek dan sudah diambil GIRO 10 Agustus</t>
  </si>
  <si>
    <t>UPRATING LINE BAY GI 150KV BABAT DAN GI 150KV LAMONGAN (Insulator)</t>
  </si>
  <si>
    <t>sdh diambil tgl 19 July</t>
  </si>
  <si>
    <t>GIRO sudah diterima, 19 Agustus, FU Tiara diemail bsk, pembayaran di transfer tgl 23 Agustus</t>
  </si>
  <si>
    <t>Tindak lanjut temuan inpeksi level 1 dan 2 ULTG Citra Raya Bulan Mei 2024</t>
  </si>
  <si>
    <t>PL (Supporting) UPT Durikosambi</t>
  </si>
  <si>
    <t>masa kontrak 27 July - 25 Agust, 5 agust upload termin 1, termin 2 sdh dibayar 22 agust</t>
  </si>
  <si>
    <t>Pengadaan Cover Rele Mekanik Trafo dan Peremajaan Jaring Pengaman Trafo dalam rangka Implementasi Program Peningkatan Kehandalan Trafo di Wilayah UPT Durikosambi Tahun 2024</t>
  </si>
  <si>
    <t>Masa Kontrak 16 April 2024 - 30 November 2024, supporting sdh ditransfer,msh menunggu pembayaran, sdh upload VIP 1 oct termin 1, sdh bayar</t>
  </si>
  <si>
    <t>Safety UPT Madiun</t>
  </si>
  <si>
    <t>Hari ini selesai penyusunan dok. RKSnya, Mas Hanif FU ke pak ismansyah, Mbak Laely FU Hanafi, Kalah teknis body harnesnya DBI sala 3M</t>
  </si>
  <si>
    <t xml:space="preserve">UPT Karawang INA tidak bisa konsorsium dikarenakan tidak punya pengalaman, Tiara FU lagi tgl 20 Okt </t>
  </si>
  <si>
    <t>harga diatas sudah termasuk diskon kerawang dan semarang masing" 5%,</t>
  </si>
  <si>
    <t>Sudah DP 10%, GIRO 30 January 2024 Pembayaran cicil tgl 27 Feb 2024, 500.000.000, 6 sept cicil 250 jt sisa 266 jt, janji 100jt tgl 4 nov, akhir nov 166 lunas (LUNAS)</t>
  </si>
  <si>
    <t>menunggu retensi 5%, 176.830.518, BAST 22 Mei 2023 Retensinya 22 Mei 2024, 100.000.000 tgl 30 Agustus sisanya 76.830.518, pak Uky FU 30 Sept</t>
  </si>
  <si>
    <t>Sudah PO dari distraco Menunggu approval drawingnya IKHBAL FU ke pak roy, Approvenya belum keluar</t>
  </si>
  <si>
    <t>material sdh diambil GIRO 14 November 2024, sdh lunas</t>
  </si>
  <si>
    <t>DP sdh menunggu pelunasan. Sdh SP3 silanjutkan oleh sinergy tdk jadi dikembalikan ke alhas</t>
  </si>
  <si>
    <t>PT. Alhas Jaya Group</t>
  </si>
  <si>
    <t>approval belum ada</t>
  </si>
  <si>
    <t>barang sdh diambil, sudah lunas
additional sudah selesai dan dibayar</t>
  </si>
  <si>
    <t>Korosif Kaki Tower UPT Salatiga</t>
  </si>
  <si>
    <t>kontrak sampai dgn 15 Okt</t>
  </si>
  <si>
    <t>sdh masuk VIP, 95% , 5% sudah masuk VIP 19 des sdh terbayar</t>
  </si>
  <si>
    <t>JASA PERBAIKAN ANOMALI PENTANAHAN HASIL ASESSMENT BURUK DAN TINDAK LANJUT GANGGUAN AKIBAT PETIR DI WILAYAH UPT SEMARANG TRIWULAN II TAHUN 2024</t>
  </si>
  <si>
    <t>masa kontrak sampai dengan 20 Juni, retensi 180 hari dari BA 19 Jun, 16 desember 2024 BA penagihan sdng diproses, cutt off di tgl 13 baru masuk VIPnya ditgl 17 des, kemungkinan pembayaran di jan - maret 25, masih nunggu verifikasi keuangan (VIP) retensi sdh dibayar 28 Feb</t>
  </si>
  <si>
    <t>REKONFIGURASI TOWER T11 WARU-RUNGKUT UPT SURABAYA</t>
  </si>
  <si>
    <t>sdh PO dan approval drawing, sdh DP, SOA tgl 22 Nov 2024, menunggu pelunasan di jan 25, revisi invoice, material  sdh diambil tgl 27 Feb</t>
  </si>
  <si>
    <t>PENGADAAN ALAT TULIS KANTOR DI LINGKUNGAN PT KERETA COMMUTER INDONESIA TAHUN 2024</t>
  </si>
  <si>
    <t>2.104.259.180 (HPS)</t>
  </si>
  <si>
    <t>pengiriman sept sudah selesai menunggu SPB ke 2 bln okt, 7 Oct pengujian SPB 2 sdh, SPB 3 sdh pengujian tgl 26 sdh pengujian SPB 4 tgl 31 des tgl 6 jan email status penagihan (jihan), SPB 3 akan dibayar 14 hari dari 30 januari, SPB 4 pembayaran ditgl 25 Feb</t>
  </si>
  <si>
    <t>Penggantian Kabel Power 20 kV Tersebar UPT Bogor
(Pekerjaan Kabel Power 20 kV, Terminasi &amp; Kontrol Proteksi)</t>
  </si>
  <si>
    <t>HPS : 2.645.836.969</t>
  </si>
  <si>
    <t>Pendaftaran : 3- 10 Feb
Penutupan : 27 Feb, tdk jadi ikut BAST kurang</t>
  </si>
  <si>
    <t>PENGGANTIAN KABEL POWER 70 KV TERSIER IBT 1 GITET BANDUNG SELATAN</t>
  </si>
  <si>
    <t>PT, Indevco Global</t>
  </si>
  <si>
    <t>sudah diambil 11 april</t>
  </si>
  <si>
    <t>RETENDER PENGGANTIAN GSW TRANSMISI OBSOLETE</t>
  </si>
  <si>
    <t>sudah lunas dan sudah diambil</t>
  </si>
  <si>
    <t>Kabel Kontrol untuk implementasi Program Kerja Proteksi di UPT Madiun</t>
  </si>
  <si>
    <t>menunggu approval, sdh DP voksel 20% (38.850.000), voksel selesai W 1 des, pek. Bisa Des Penagihan Jan paling jelek dibln maret tergantung SKI keluarnya, barang dikirim 6 maret, 7 maret pemeriksaan, material sdh dikirim tgl 7 mar, VIP sdh dibayar tgl 30 april</t>
  </si>
  <si>
    <t>CMJ SUTET 275 KV</t>
  </si>
  <si>
    <t>PT. Cipta Mitra Andalas</t>
  </si>
  <si>
    <t>Barang sdh di pick up</t>
  </si>
  <si>
    <t>Jasa Perbaikan Anomali Pentanahan Hasil Asessment Buruk dan Tindak Lanjut Gangguan Akibat Petir di Wilayah UPT Semarang Periode Mei 2024 - April 2025</t>
  </si>
  <si>
    <t xml:space="preserve">ttd kontrak 3 July 20 24 - 2 Jul 2025, SPBJ 001 metode MDG sdh selesai sdh dibayar 28 agust, rencana penagihan, MRG sdh selesai, </t>
  </si>
  <si>
    <t>SPBJ 1-4 sudah lunas, SPBJ 5 95% sudah dbayar, SPB 6 menunggu pembayaran sdh masuk VIP, INA ke pak komo belum SPBJ 4 5% retensi, SPB 5&amp;6 retensi sdh masuk VIP. SPBJ 5 &amp; 6 sdh dibayar tgl 25 Juni</t>
  </si>
  <si>
    <t>Pekerjaan Perbaikan Anomali Jaringan di UPT Bandung Tahun 2024</t>
  </si>
  <si>
    <t>hutang material sdh dibayar</t>
  </si>
  <si>
    <t>kontrak jun 2024 - 2025, minta hasil konsinyering 9 agustus, mulai kerja 19 Agustus, CDU udh PO ke INA, INA sdh bayar ke CDU, kena SP 1 karna telat pek. SPB Bln oktober sdh selesai</t>
  </si>
  <si>
    <t>KSO CDU - INA</t>
  </si>
  <si>
    <t>sudah SPK ke 2, Jampel sdh, bln nov sdh selesai, SPJ 0161 di februari, BASTP 1 sdh, Fajar minta ke Pak Bagus. Sudah diFU oleh Fajar, akan diFU kembali ke pak Sudaryo.</t>
  </si>
  <si>
    <t>pelunasan dibayar tgl 7 Mei, dan barang sdh diambil tgl 9 Mei (AI)</t>
  </si>
  <si>
    <t>HVC Gorontalo</t>
  </si>
  <si>
    <t>Material sdh masuk gudang UGC 28 Mei, softcopy Invoice sdh dikirim pak Rahman, 02/06 hardcopy dikirim, ngirim juni FU 30 hari diterima dengan dokumen lengkap dan benar, sdh dibayar tgl 26 infonnya tgl 30/06 diambil</t>
  </si>
  <si>
    <t>PT. KSCM</t>
  </si>
  <si>
    <t>sdh pelunasan dan sudah dibantu kirim ke KSCM tgl 03/07</t>
  </si>
  <si>
    <t>PT. Mahakaam Jaya Sejahtera (INA)</t>
  </si>
  <si>
    <t>material sdh diambil 10 July, cek tgl 09 Agustus 2025</t>
  </si>
  <si>
    <t>PENGADAAN CONNECTOR PROJECT WK ROKAN PAKET -A</t>
  </si>
  <si>
    <t>(sdh bayar tgl 3 Juli) material sdh diambil tgl 15/07</t>
  </si>
  <si>
    <t>UPRATING 2LB SUTT 150 KV TUBAN-KEREK DAN UPRATING BUSBAR GI 150 KV KEREK</t>
  </si>
  <si>
    <t>695 (hogn) reminder 2 jan</t>
  </si>
  <si>
    <t>PT. Global Twin Star, PT Cahaya Karya bersama</t>
  </si>
  <si>
    <t>SOA 25 Mei Stringset 30 Mei Insulator 30 Juni, rencana selesai awal bulan (stringset), stringset sdh selesai, insulator ETA jakarta 8 Juli, info GTS dibarengkan beserta Insulator, 12/08 diambil (stringset) ke gudang GTS, Insulator sudah di ambil 10/07 di cairkannya 10/08 karna insulator baru datang 10/07, informasi 12/08 akan di transfer</t>
  </si>
  <si>
    <t>Pengadaan dan Pemasangan Bay Kapasitor Wilayah Jawa Barat Di UIT JBT</t>
  </si>
  <si>
    <t>tgl 15/08 sudah melakukan penghitungan material sdh diambil tgl 21/08</t>
  </si>
  <si>
    <t>Splice Shunt ACSR Hawk</t>
  </si>
  <si>
    <t>Almahyra Dian Kurnia, PT</t>
  </si>
  <si>
    <t>sdh PO dan sudah DP, SOA 4 September, sudah diambil dan dikirim ke pak komo tgl 4/09</t>
  </si>
  <si>
    <t>Retender PEKERJAAN KONTRUKSI UNTUK PEMBANGUNAN EXT. TRAFO DAYA 1X60 MVA GIS 150 KV GLUGUR</t>
  </si>
  <si>
    <t>sudah diambil dan sudah dibayar 15/09</t>
  </si>
  <si>
    <t>PENGADAAN DAN PENGGANTIAN ISOLATOR KONDISI KRITIS TERSEBAR DI UNIT TRANSMISI JAWA BAGIAN TIMUR DAN BALI                                                     (PENGADAAN DAN PENGGANTIAN ISOLATOR KACA DI UPT MALANG)</t>
  </si>
  <si>
    <t>SOA 22 Agustus, MA sdh Bayar 30%, material sdh diambil 25/08, kekurangan 70 pcs clevis tail ostrich, email ke PLP barang baru ada 2 minggu lagi pertengahan sept, invoice diinfokan juga di pertengahan sept ke PLP sesuai permintaan kontraktor kekurangan clevis tail sudah diambl 12/09 GIRO cair 1 okt</t>
  </si>
  <si>
    <t>SUTT 150Kv Tayan - Sandai Section 1</t>
  </si>
  <si>
    <t>Indisi, PT</t>
  </si>
  <si>
    <t>Material sudah diambil 21/08, pembayaran 29 sept transfer</t>
  </si>
  <si>
    <t>SUTT 150Kv Tayan - Sandai Section 4</t>
  </si>
  <si>
    <t>material sudah diambil SOA 26/08 sdh selesai pembayaran 7 okt transfer</t>
  </si>
  <si>
    <t>Additional SUTT 150Kv Tayan - Sandai Section 4 Additional</t>
  </si>
  <si>
    <t>PT. Indisi</t>
  </si>
  <si>
    <t>SOA 5 September sdh dibayar tgl 09/09sdh diambil 12/09</t>
  </si>
  <si>
    <t>UPRATING GI 150 KV BANYUDONO BAY JAJAR 1,2 DAN GI 150 KV JAJAR BAY BANYUDONO 1,2 HVC</t>
  </si>
  <si>
    <t>Sudah Revisi PO site Banyudono 1 selesai tgl 10/09, Jajar 1 12/09, Banyudono 2 25/09 REVISI PO KE PLP, additional selesai tgl 26/08 sudah diambil tgl 25 sept pelunasan tranfer 24 okt</t>
  </si>
  <si>
    <t>PEKERJAAN PEMBANGUNAN GARDU INDUK 150 KV KOLAKA EXTENSION 30 MVA</t>
  </si>
  <si>
    <t>PT. DALIMA PUTRA PERDANA,</t>
  </si>
  <si>
    <t>Closing 11/09, kalah karna TPG LA</t>
  </si>
  <si>
    <t>SOA 21 Agustus 2025, barang sudah selesai masuk UGC tgl 29/08, barang sudah diambil tgl 02/10 GIRO pelunasan 16 nov</t>
  </si>
  <si>
    <t>Project Name PT Alam Insektindo</t>
  </si>
  <si>
    <t>Sangata Maloy Sec 1-3</t>
  </si>
  <si>
    <t>TL 500 kv Muara Enim Paket 3</t>
  </si>
  <si>
    <t>Next Project PT Alam Insektindo</t>
  </si>
  <si>
    <t>TL 500 kV Paket 3 Waskita</t>
  </si>
  <si>
    <t>TL Cibitung</t>
  </si>
  <si>
    <t>Jatiluhur - Cikampek</t>
  </si>
  <si>
    <t>Rancaekek - Sunyaragi</t>
  </si>
  <si>
    <t>Relokasi 500 kv Cibatu - Cirata</t>
  </si>
  <si>
    <t>TL Batam Nongsa</t>
  </si>
  <si>
    <t>Relokasi Tower Moh Toha ( 5 Tower)</t>
  </si>
  <si>
    <t>Rekonduktoring GSW 55 (UPT Semarang)</t>
  </si>
  <si>
    <t>Aco &amp; Priyo</t>
  </si>
  <si>
    <t>Relokasi Tower di Surabaya</t>
  </si>
  <si>
    <t>GI Pemantang Siantar SBU</t>
  </si>
  <si>
    <t>Diki &amp; Priyo</t>
  </si>
  <si>
    <t>TL 275 kV-18 Paket</t>
  </si>
  <si>
    <t>UPT Semarang GI dan TL 150kV 5 Paket</t>
  </si>
  <si>
    <t>Fuad &amp; Priyo</t>
  </si>
  <si>
    <t>Project Relokasi Tower Matrix Pak Yuli</t>
  </si>
  <si>
    <t>PLN Salatiga</t>
  </si>
  <si>
    <t>GI 150kV Sulawesi</t>
  </si>
  <si>
    <t>GI 150kV Sulawesi dan Kalimantan</t>
  </si>
  <si>
    <t>GI 150kV di Jawa</t>
  </si>
  <si>
    <t>UIP Surabaya</t>
  </si>
  <si>
    <t>TL Jeranjang Sekotong 74 Tower</t>
  </si>
  <si>
    <t>TL Mataram Mantang 50 Tower</t>
  </si>
  <si>
    <t>GISTET 500kV dan GI 150kV Duri Kosambi</t>
  </si>
  <si>
    <t>SUTET Waduk Jeragung 14 Tower</t>
  </si>
  <si>
    <t>Quadruple</t>
  </si>
  <si>
    <t>DK108</t>
  </si>
  <si>
    <t>DK124</t>
  </si>
  <si>
    <t>DK17</t>
  </si>
  <si>
    <t>Aco &amp; Fuad</t>
  </si>
  <si>
    <t>DK125</t>
  </si>
  <si>
    <t>MRPR</t>
  </si>
  <si>
    <t xml:space="preserve">Riau GFPP 275 MW IPP Project </t>
  </si>
  <si>
    <t>Project INA</t>
  </si>
  <si>
    <t>Bonomi untuk Muara Enim</t>
  </si>
  <si>
    <t>Fuad &amp; Diki</t>
  </si>
  <si>
    <t>Sediver dan Lagranja</t>
  </si>
  <si>
    <t>Fuad &amp; Imam</t>
  </si>
  <si>
    <t>Pak Tata, PT Pandan Wangi</t>
  </si>
  <si>
    <t xml:space="preserve"> AC3 DEM</t>
  </si>
  <si>
    <t>Trans Elektrik</t>
  </si>
  <si>
    <t>PROJECT ON PROGRESS 2018 - 2019</t>
  </si>
  <si>
    <t>Percepatan</t>
  </si>
  <si>
    <t>STRINGSET Sudah di Gudang, KONEKTOR belum PO (Rabu 8 Mei 19) deadline</t>
  </si>
  <si>
    <t>Sudah di gudang Marunda</t>
  </si>
  <si>
    <t>Approval Drawing (10 Mei 19, data semua selesai)</t>
  </si>
  <si>
    <t>NEED REPORT PROJECT STATUS, (AO NOT RECEIVED YET)</t>
  </si>
  <si>
    <t>drawing connector belum diberikan plp</t>
  </si>
  <si>
    <t>(Konektor) Rabu 8 Mei 19, deadline</t>
  </si>
  <si>
    <t>End of April 2019</t>
  </si>
  <si>
    <t>Ada 2 PO Sudah PO</t>
  </si>
  <si>
    <t>String sudah Oke, Ubolt belum ada update</t>
  </si>
  <si>
    <t>Hari ini update dari mas fuad (6 mei 19)</t>
  </si>
  <si>
    <t>CONTRACTOR REQUEST STRINGSET END OF FEBRUARY</t>
  </si>
  <si>
    <t>Minta di mundurkan Juni 2019</t>
  </si>
  <si>
    <t>20 Mei 2019, Packing List tanggal 13 Mei 2019</t>
  </si>
  <si>
    <t>Material April 2019, Inv DP Sudah terbit belum ada pembayaran (Mundur ke Juni setelah lebaran)</t>
  </si>
  <si>
    <t>End Of Juli 2019</t>
  </si>
  <si>
    <t>Promise date</t>
  </si>
  <si>
    <t>(Clear) Menunggu kabarnya minggu depan</t>
  </si>
  <si>
    <t>Invoice Pelunasan (Tunggu barang datang)</t>
  </si>
  <si>
    <t>GI 150 kV BABAKAN BARU TDKK</t>
  </si>
  <si>
    <t>Revisi PO dan Revisi Stringset (Drawing)</t>
  </si>
  <si>
    <t>Minta Drawing ke PLP Urgent</t>
  </si>
  <si>
    <t>Suspend</t>
  </si>
  <si>
    <t>Connector tunggu approval, Perlatan</t>
  </si>
  <si>
    <t>Selindo</t>
  </si>
  <si>
    <t>BELUM PO</t>
  </si>
  <si>
    <t>Connector tunggu approval, Perlatan (JULI)</t>
  </si>
  <si>
    <t>Approval Drawing (Kop Drawing)</t>
  </si>
  <si>
    <t>BELUM PO dari kontraktor</t>
  </si>
  <si>
    <t>100% PLP</t>
  </si>
  <si>
    <t>CISUMDAWU PHASE 3 KEDUNG JAYA</t>
  </si>
  <si>
    <t>28 Februari 2019</t>
  </si>
  <si>
    <t>120 FOG, 840 PCS</t>
  </si>
  <si>
    <t>Sudah PO, DP Done</t>
  </si>
  <si>
    <t xml:space="preserve"> CISUMDAWU PHASE 4 CMS</t>
  </si>
  <si>
    <t>Sudah kontrak, Approval OK, PO Masih di tahan</t>
  </si>
  <si>
    <t>GI 150 kV SUMENEP PPWS</t>
  </si>
  <si>
    <t>Buana</t>
  </si>
  <si>
    <t>DISC INSULATOR &amp; PI</t>
  </si>
  <si>
    <t>(JULI), Disc Insulator &amp; Post Insulator</t>
  </si>
  <si>
    <t>Drawing</t>
  </si>
  <si>
    <t>PLP Belum kasih gambar konektor dan PO</t>
  </si>
  <si>
    <t>Prepare Drawing</t>
  </si>
  <si>
    <t>Perubahan Drawing Suspension</t>
  </si>
  <si>
    <t>Juni 2019</t>
  </si>
  <si>
    <t>Revisi Gambar (Juni Akhir), Transportasi di takeover oleh divisi</t>
  </si>
  <si>
    <t>Kencana Alam</t>
  </si>
  <si>
    <t>Penawaran Harga ke PLP</t>
  </si>
  <si>
    <t>Revisi Gambar (September)</t>
  </si>
  <si>
    <t>Approval Drawing di PLN E (Oke), tinggal ke bandung</t>
  </si>
  <si>
    <t>Approval Drawing Oke</t>
  </si>
  <si>
    <t>Sudah terima Penawaran Harga dari PLP</t>
  </si>
  <si>
    <t>12 Minggu</t>
  </si>
  <si>
    <t>Kirim Ke Pekanbaru &amp; Jambi (BackUp Uki untuk Inv)</t>
  </si>
  <si>
    <t>120 FOG, 1250 PCS</t>
  </si>
  <si>
    <t>Belum STL</t>
  </si>
  <si>
    <t>GI 150 kV Ancol</t>
  </si>
  <si>
    <t>End of September 2019</t>
  </si>
  <si>
    <t>Menunggu Penawaran Harga dari PLP</t>
  </si>
  <si>
    <t>TL 150 kV - KCIC (Kereta Api Cepat)</t>
  </si>
  <si>
    <t>PO Hari ini by mas fuad ke PLP (6 Mei 19)</t>
  </si>
  <si>
    <t>GI 150 kV Cianjur</t>
  </si>
  <si>
    <t>ABB - TDKK</t>
  </si>
  <si>
    <t>End Of Oktober 2019</t>
  </si>
  <si>
    <t>10. UP3B SUMATERA MATERIAL CADANG GI</t>
  </si>
  <si>
    <t>Kalah harga dengan SPE
SPE : Rp6.706.296.244
Alam : Rp7.351.776.000
MA : Rp7.465.312.340</t>
  </si>
  <si>
    <t>Tidak submit, harga Flir tidak masuk HPS</t>
  </si>
  <si>
    <t>Closing 15 April, tidak jadi pemasukan
Permintaan OECD, Hrg Flir tidak masuk HPS</t>
  </si>
  <si>
    <t>Tidak lolos S1, Data personalia tidak ada
Tidak boleh KSO</t>
  </si>
  <si>
    <t>Tidak Lolos sampul 1, TPG Tidak lengkap</t>
  </si>
  <si>
    <t xml:space="preserve">Kalah harga
1.617.907.696 
11% dari hps
</t>
  </si>
  <si>
    <t>sdh ngasih harga menunggu update PLN Site, sdh minta dukungan, menunggu update site terakhir FU tgl 01/12, order via infotech, IAG beli ke infotech</t>
  </si>
  <si>
    <t>PEMBANGUNAN GITET 500/150 KV KARAWANG BESERTA SUTET 500 kV KARAWANG - INC. (INDRAMAYU - DELTAMAS)</t>
  </si>
  <si>
    <t>PEMBANGUNAN SUTT 150 KV KARAWANG - KIIC II/MARGAKAYA</t>
  </si>
  <si>
    <t>KSO PT. KELINCI MAS UNGGUL – PT. ARHADI FAJAR PERKASA</t>
  </si>
  <si>
    <t>Closing 22/12</t>
  </si>
  <si>
    <t xml:space="preserve">kontrak sampai 29 november 2025 pemeliharaan 6 bulan sampai 30 mei 2026 , VIP  termin 3 sudah dibayar 24/11, pending item: pekerjaan DFR dan AVR akan dilaksanakan di masa pemeliharaan, </t>
  </si>
  <si>
    <t>dibayar tanggal 5/12, diambil Januari</t>
  </si>
  <si>
    <t>DP sudah dibayar tgl 27 sept SOA Connector 27 okt material connector sudah digudang ugc tgl 29/10 menunggu pengambilan, SOA Insulator July 2026, insulator sdh di PO ulang ke PLP SOA (1 Juni)</t>
  </si>
  <si>
    <t>Menang, FU  09/12 projek tahun depan</t>
  </si>
  <si>
    <t>Menang, FU 09/12 projek tahun depan</t>
  </si>
  <si>
    <t xml:space="preserve">menang, sdh mulai pek. Gudang terlebih dahulu, FU terakhir 02/12 masih mengerjakan pekerjaan sipil (gudang) material MTU kemungkinan onsite tahun depan, jeko FU 19/12 </t>
  </si>
  <si>
    <t xml:space="preserve">Pak Asep proses DED &amp; BED terakhir update 15/10, closing 12/09, estimasi project agustus sampai september 2026, laely FU 08/12 atau 09/12 </t>
  </si>
  <si>
    <t>Closing 09/10/2025, NPC sdh dapat SPM, FU 15/12</t>
  </si>
  <si>
    <t>Closing 26/11/2025, FU 09/12 mba laely evaluasi tender</t>
  </si>
  <si>
    <t>Hanya minta harga, laely FU 05/12 belum ada info dari user ke Pak Syahrul</t>
  </si>
  <si>
    <t>Closing 27/11/2025, evaluasi sampul 1</t>
  </si>
  <si>
    <t>menang, Closing 19 November, FU marul 02/12 memberikan update penawaran untuk ABI, FU marul 03/12 masih klarifikasi teknis, evaluasi sampul 1</t>
  </si>
  <si>
    <t>Closing 05/01/2026</t>
  </si>
  <si>
    <t>SOA 20/03</t>
  </si>
  <si>
    <t>GI 150 KV MUARA RUPIT</t>
  </si>
  <si>
    <t>PT GRIDTECH</t>
  </si>
  <si>
    <t>GI MARGAKARYA</t>
  </si>
  <si>
    <t>Proses approval drawing</t>
  </si>
  <si>
    <t>GI KELAPA EXTENTION TRAFO BAY</t>
  </si>
  <si>
    <t>PT INFORMATION DATA SYSTEM</t>
  </si>
  <si>
    <t>sdh ttd kontrak berlaku sampai 17 September, perpanjang jampel 180 hari sampai tgl 22 Feb 2026, surat jalan sudah tanggal 09/12, BA sudah dikerjakan, info pencairan Februari, BAP belum infonya di Februari</t>
  </si>
  <si>
    <t>sudah SPK inspeksi material tgl 2 okt, invoice sudah dikirim tgl 8 okt sudah dibayar 03/12 dan sudah diambil 10/12, COO COM sudah dikirim</t>
  </si>
  <si>
    <t>Menang, Baru ttd kontrak, Belum ada jadwal nanti diinfokan kemajuan time line, segara rilis PO dan akan dikabari, selain pakai PLP pakai KAK, sedang proses approval minggu ini, kontrak panjang menunggu CT belum dirilis PO masih dalam proses, info dari pak Hary belum. Planing Pekerjaan, menunggu CT On site FU 14 nov, sudah bertemu pak Hari 17/12</t>
  </si>
  <si>
    <t xml:space="preserve">menang, on site awal bulan desember, FU jeko terakhir 12/12 belum ada update lagi, jeko FU 19/12 tidak ada respon </t>
  </si>
  <si>
    <t xml:space="preserve">proses approval TPG, jeko FU 05/12 ke pak Eko nanti dikabari jika akan PO, FU 05/01 jeko </t>
  </si>
  <si>
    <t>sudah 100% pembayaran alam sdh PO ke PLP SOA line 1 dan 6 tanggal 16/01 sisanya 22/12, menunggu revisi ITP dan FAT, menunggu jadwal FAT test dari PLP</t>
  </si>
  <si>
    <t xml:space="preserve">Closing 13/10/2025, masih pembukaan sampul 2, jeko FU 19/12 3 minggu blm ada respon </t>
  </si>
  <si>
    <t>Closing 22/10/2025, GTS menang, masih menunggu negosiasi harga, FU 16/12 mba laely masih survey</t>
  </si>
  <si>
    <t>Closing 17/11/2025, kalah, pemenang BUKAKA selisih 50%</t>
  </si>
  <si>
    <t>22/12 proses klarifikasi tender</t>
  </si>
  <si>
    <t>Closing 9/01, addendum akan dikirim oleh pak Alvian</t>
  </si>
  <si>
    <t>Menang</t>
  </si>
  <si>
    <t>loss kalah harga</t>
  </si>
  <si>
    <t xml:space="preserve">KSO HASTA KARYA PERDANA - KMI - DHJ </t>
  </si>
  <si>
    <t>Closing 21/12</t>
  </si>
  <si>
    <t xml:space="preserve"> JASA PERBAIKAN ANOMALI SUTT DAN SUTET UPT SEMARANG BULAN JANUARI 2026 - APRIL 2027</t>
  </si>
  <si>
    <t>PT Cahaya Karya Bersama</t>
  </si>
  <si>
    <t>PT. CITRAMASJAYA TEKNIKMANDIRI</t>
  </si>
  <si>
    <t>SUTET 275 KV GGL Additional</t>
  </si>
  <si>
    <t>material sudah di gudang UGC</t>
  </si>
  <si>
    <t>FU ke Emmy bagian tender ke pak syuaib bagian project belum ada update, pengumuman pememang tgl 29/09/25, stringset dan connector pakai material stock dari projek Wotu sebelumnya, perlu diagendakan ke KMU Makassar</t>
  </si>
  <si>
    <t xml:space="preserve">kita sdh supprt Closing 23 Des (diundur 21 Jan 25), mereka pakai hogn dan KAK LOT1&amp;2 harga kita sudah paling murah mbak laely di Pantau lagi April 28, mundur 12/01 </t>
  </si>
  <si>
    <t>Closing 19 Maret sdh diberikan penawaran, masih menunggu update, Closing 29 des, SGU Citicon, Distraco, mundur 12/01</t>
  </si>
  <si>
    <t xml:space="preserve">SOA tgl 21 November minta list mana yang urgent terlebih dahulu sdh dikirim, sudah FAT, pengambilan parsial I tgl 2 okt ada permintaan list material selesai di 20 okt, pengambilan parsial ke-II di tgl 24 okt, parsial ke-III sudah diambil tanggal 26, kekurangannya est tgl 20/12 poin C item 1-15, poin D item 1-3, poin E 1-12, poin F item 1, poin G item 1, poin H item 1, poin I item 1-2, paling lama 21/03/2026, kalau pakai jalur udara lebih cepat 1 bulan bayar 15 juta, info dari PLP akan mengirim item yang sudah selesai </t>
  </si>
  <si>
    <t>indevco menang, menunggu pembayaran post insulator, invoice dikirim tgl 23/12</t>
  </si>
  <si>
    <t>GI menggunakan KAK, menunggu diskon dari PLP 22/12, menunggu harga diskon dari Alam, terakhir upload di eproc multifab tanggal 31/12, request diskon ke PLP 27%, request diskon ke DEM 10%</t>
  </si>
  <si>
    <t>menang, sudah ttd kontrak, sedang kick of meeting, info rencana survey di bulan desember, jeko FU 12/12 sedang proses survey, FU 18/12 tidak ada respon, dijadwalkan silaturahmi w2 januari</t>
  </si>
  <si>
    <t>Closing 29 des, FU 04/11
BAP Sangkan, WST (sedang cari pasangan), HP, Indisi (ditolak sama plp), HKP (tdk ikut karna sudah yang punya), diundur 12/01</t>
  </si>
  <si>
    <t xml:space="preserve">Closing 04/09, Menang, menunggu approval drawing dan PO, sudah ada diskon PLP, 30-31/12 konsiyering AMSAK dan PLP di GI kudus </t>
  </si>
  <si>
    <t xml:space="preserve">pengumuman pemenang: Purnama </t>
  </si>
  <si>
    <t xml:space="preserve"> KSO PT. PURNAMA INDONESIA - PT. NIAGAMAS SETIAUSAHA</t>
  </si>
  <si>
    <t>SOA 26 November, material di gudang Alam diambil Januari, 05/01 FU ke pak Eko</t>
  </si>
  <si>
    <t>revisi invoice sudah dikirim, material sudah masuk ke gudang tgl 27/11, kekurangan BA sudah dikirim tanggal 11/12, 05/01 FU ke Pak Irwan</t>
  </si>
  <si>
    <t xml:space="preserve"> NPC MENANG, qty nya berkurang 70%, sudah kirim quote terbaru ke NPC, </t>
  </si>
  <si>
    <t xml:space="preserve">sudah lunas, kemungkinan FAT Januari, tanggal 13 Januari FAT menunggu konfirmasi dari SAJ </t>
  </si>
  <si>
    <t>Closing 2/10/2025, DCI Menang, FU mbak nabila ke pak Veri, proses approval</t>
  </si>
  <si>
    <t>Closing 28 November, dalima harga terendah, evaluasi teknis, FU 05/01</t>
  </si>
  <si>
    <t>SOA 23/12, pelunasan 23/12, sudah diambil 29/12</t>
  </si>
  <si>
    <t>PEKERJAAN RELOKASI TOWER KRITIS SISTEM TIMOR PT PLN (PERSERO) UNIT INDUK WILAYAH NUSA TENGGARA TIMUR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</si>
</sst>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4" formatCode="_-&quot;Rp&quot;* #,##0.00_-;\-&quot;Rp&quot;* #,##0.00_-;_-&quot;Rp&quot;* &quot;-&quot;??_-;_-@_-"/>
    <numFmt numFmtId="164" formatCode="_(&quot;$&quot;* #,##0.00_);_(&quot;$&quot;* \(#,##0.00\);_(&quot;$&quot;* &quot;-&quot;??_);_(@_)"/>
    <numFmt numFmtId="165" formatCode="_(* #,##0.00_);_(* \(#,##0.00\);_(* &quot;-&quot;??_);_(@_)"/>
    <numFmt numFmtId="166" formatCode="dd\ mmmm\ yyyy"/>
    <numFmt numFmtId="167" formatCode="_(* #,##0_);_(* \(#,##0\);_(* &quot;-&quot;??_);_(@_)"/>
    <numFmt numFmtId="168" formatCode="[$-421]dd\ mmmm\ yyyy;@"/>
    <numFmt numFmtId="169" formatCode="[$-F800]dddd\,\ mmmm\ dd\,\ yyyy"/>
  </numFmts>
  <fonts count="34" x14ac:knownFonts="1">
    <font>
      <sz val="11"/>
      <color theme="1"/>
      <name val="Calibri"/>
      <family val="2"/>
      <scheme val="minor"/>
    </font>
    <font>
      <b/>
      <sz val="14"/>
      <color theme="9" tint="-0.249977111117893"/>
      <name val="Calibri"/>
      <family val="2"/>
      <scheme val="minor"/>
    </font>
    <font>
      <sz val="11"/>
      <color theme="1"/>
      <name val="Calibri"/>
      <family val="2"/>
      <scheme val="minor"/>
    </font>
    <font>
      <b/>
      <sz val="11"/>
      <color theme="1"/>
      <name val="Calibri"/>
      <family val="2"/>
      <scheme val="minor"/>
    </font>
    <font>
      <b/>
      <sz val="14"/>
      <name val="Calibri"/>
      <family val="2"/>
      <scheme val="minor"/>
    </font>
    <font>
      <b/>
      <sz val="12"/>
      <name val="Calibri"/>
      <family val="2"/>
      <scheme val="minor"/>
    </font>
    <font>
      <b/>
      <sz val="12"/>
      <color theme="9" tint="-0.249977111117893"/>
      <name val="Calibri"/>
      <family val="2"/>
      <scheme val="minor"/>
    </font>
    <font>
      <sz val="11"/>
      <color rgb="FFFF0000"/>
      <name val="Calibri"/>
      <family val="2"/>
      <scheme val="minor"/>
    </font>
    <font>
      <sz val="11"/>
      <name val="Calibri"/>
      <family val="2"/>
      <scheme val="minor"/>
    </font>
    <font>
      <b/>
      <sz val="16"/>
      <name val="Calibri"/>
      <family val="2"/>
      <scheme val="minor"/>
    </font>
    <font>
      <sz val="22"/>
      <color theme="1"/>
      <name val="Calibri"/>
      <family val="2"/>
      <scheme val="minor"/>
    </font>
    <font>
      <sz val="16"/>
      <color theme="1"/>
      <name val="Calibri"/>
      <family val="2"/>
      <scheme val="minor"/>
    </font>
    <font>
      <sz val="14"/>
      <color theme="1"/>
      <name val="Calibri"/>
      <family val="2"/>
      <scheme val="minor"/>
    </font>
    <font>
      <sz val="14"/>
      <name val="Calibri"/>
      <family val="2"/>
      <scheme val="minor"/>
    </font>
    <font>
      <sz val="12"/>
      <color theme="1"/>
      <name val="Calibri"/>
      <family val="2"/>
      <scheme val="minor"/>
    </font>
    <font>
      <sz val="16"/>
      <name val="Calibri"/>
      <family val="2"/>
      <scheme val="minor"/>
    </font>
    <font>
      <sz val="12"/>
      <name val="Calibri"/>
      <family val="2"/>
      <scheme val="minor"/>
    </font>
    <font>
      <sz val="10"/>
      <color theme="1"/>
      <name val="Calibri"/>
      <family val="2"/>
      <scheme val="minor"/>
    </font>
    <font>
      <sz val="10"/>
      <name val="Calibri"/>
      <family val="2"/>
      <scheme val="minor"/>
    </font>
    <font>
      <sz val="24"/>
      <color theme="1"/>
      <name val="Calibri"/>
      <family val="2"/>
      <scheme val="minor"/>
    </font>
    <font>
      <b/>
      <sz val="16"/>
      <color theme="1"/>
      <name val="Calibri"/>
      <family val="2"/>
      <scheme val="minor"/>
    </font>
    <font>
      <sz val="18"/>
      <color theme="1"/>
      <name val="Calibri"/>
      <family val="2"/>
      <scheme val="minor"/>
    </font>
    <font>
      <b/>
      <sz val="18"/>
      <name val="Calibri"/>
      <family val="2"/>
      <scheme val="minor"/>
    </font>
    <font>
      <b/>
      <sz val="22"/>
      <color theme="1"/>
      <name val="Calibri"/>
      <family val="2"/>
      <scheme val="minor"/>
    </font>
    <font>
      <sz val="11"/>
      <color theme="1"/>
      <name val="Calibri"/>
      <family val="2"/>
      <charset val="1"/>
      <scheme val="minor"/>
    </font>
    <font>
      <u/>
      <sz val="10"/>
      <color indexed="12"/>
      <name val="Arial"/>
      <family val="2"/>
    </font>
    <font>
      <sz val="16"/>
      <name val="Arial"/>
      <family val="2"/>
    </font>
    <font>
      <sz val="16"/>
      <color rgb="FFFF0000"/>
      <name val="Calibri"/>
      <family val="2"/>
      <scheme val="minor"/>
    </font>
    <font>
      <sz val="9"/>
      <color indexed="81"/>
      <name val="Tahoma"/>
      <family val="2"/>
    </font>
    <font>
      <b/>
      <sz val="9"/>
      <color indexed="81"/>
      <name val="Tahoma"/>
      <family val="2"/>
    </font>
    <font>
      <sz val="16"/>
      <color indexed="81"/>
      <name val="Tahoma"/>
      <family val="2"/>
    </font>
    <font>
      <sz val="16"/>
      <color rgb="FF000000"/>
      <name val="Arial"/>
      <family val="2"/>
    </font>
    <font>
      <sz val="18"/>
      <name val="Calibri"/>
      <family val="2"/>
      <scheme val="minor"/>
    </font>
    <font>
      <sz val="16"/>
      <color rgb="FF000000"/>
      <name val="Arial"/>
    </font>
  </fonts>
  <fills count="2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double">
        <color indexed="64"/>
      </left>
      <right style="double">
        <color indexed="64"/>
      </right>
      <top style="double">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auto="1"/>
      </right>
      <top style="thin">
        <color auto="1"/>
      </top>
      <bottom/>
      <diagonal/>
    </border>
  </borders>
  <cellStyleXfs count="8">
    <xf numFmtId="0" fontId="0" fillId="0" borderId="0"/>
    <xf numFmtId="165" fontId="2" fillId="0" borderId="0" applyFont="0" applyFill="0" applyBorder="0" applyAlignment="0" applyProtection="0"/>
    <xf numFmtId="164" fontId="2" fillId="0" borderId="0" applyFont="0" applyFill="0" applyBorder="0" applyAlignment="0" applyProtection="0"/>
    <xf numFmtId="41" fontId="2" fillId="0" borderId="0" applyFont="0" applyFill="0" applyBorder="0" applyAlignment="0" applyProtection="0"/>
    <xf numFmtId="0" fontId="24" fillId="0" borderId="0"/>
    <xf numFmtId="41" fontId="24" fillId="0" borderId="0" applyFont="0" applyFill="0" applyBorder="0" applyAlignment="0" applyProtection="0"/>
    <xf numFmtId="0" fontId="25" fillId="0" borderId="0" applyNumberFormat="0" applyFill="0" applyBorder="0" applyAlignment="0" applyProtection="0">
      <alignment vertical="top"/>
      <protection locked="0"/>
    </xf>
    <xf numFmtId="9" fontId="2" fillId="0" borderId="0" applyFont="0" applyFill="0" applyBorder="0" applyAlignment="0" applyProtection="0"/>
  </cellStyleXfs>
  <cellXfs count="575">
    <xf numFmtId="0" fontId="0" fillId="0" borderId="0" xfId="0"/>
    <xf numFmtId="0" fontId="1" fillId="0" borderId="0" xfId="0" applyFont="1" applyAlignment="1">
      <alignment horizontal="center"/>
    </xf>
    <xf numFmtId="166" fontId="0" fillId="0" borderId="0" xfId="0" applyNumberFormat="1"/>
    <xf numFmtId="0" fontId="0" fillId="0" borderId="0" xfId="0" applyAlignment="1">
      <alignment horizontal="center"/>
    </xf>
    <xf numFmtId="0" fontId="0" fillId="0" borderId="1" xfId="0" applyBorder="1" applyAlignment="1">
      <alignment horizontal="center"/>
    </xf>
    <xf numFmtId="166" fontId="0" fillId="0" borderId="1" xfId="0" applyNumberFormat="1" applyBorder="1" applyAlignment="1">
      <alignment horizontal="center"/>
    </xf>
    <xf numFmtId="0" fontId="3" fillId="0" borderId="0" xfId="0" applyFont="1"/>
    <xf numFmtId="0" fontId="0" fillId="0" borderId="1" xfId="0" applyBorder="1" applyAlignment="1">
      <alignment horizontal="center" wrapText="1"/>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166" fontId="0" fillId="0" borderId="1" xfId="0" applyNumberFormat="1" applyBorder="1" applyAlignment="1">
      <alignment horizontal="center" vertic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3" fillId="0" borderId="0" xfId="0" applyFont="1" applyAlignment="1">
      <alignment wrapText="1"/>
    </xf>
    <xf numFmtId="0" fontId="0" fillId="0" borderId="0" xfId="0" applyAlignment="1">
      <alignment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wrapText="1"/>
    </xf>
    <xf numFmtId="166" fontId="0" fillId="4" borderId="1" xfId="0" applyNumberFormat="1" applyFill="1" applyBorder="1" applyAlignment="1">
      <alignment horizontal="center"/>
    </xf>
    <xf numFmtId="0" fontId="0" fillId="4" borderId="0" xfId="0" applyFill="1" applyAlignment="1">
      <alignment horizontal="center"/>
    </xf>
    <xf numFmtId="15" fontId="0" fillId="0" borderId="1" xfId="0" applyNumberFormat="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66" fontId="7" fillId="0" borderId="1" xfId="0" applyNumberFormat="1" applyFont="1" applyBorder="1" applyAlignment="1">
      <alignment horizontal="center" vertical="center"/>
    </xf>
    <xf numFmtId="0" fontId="0" fillId="0" borderId="0" xfId="0" applyAlignment="1">
      <alignment vertical="center" wrapText="1"/>
    </xf>
    <xf numFmtId="0" fontId="0" fillId="0" borderId="0" xfId="0" applyAlignment="1">
      <alignment horizontal="center" vertical="center"/>
    </xf>
    <xf numFmtId="166" fontId="0" fillId="0" borderId="1" xfId="0" quotePrefix="1" applyNumberFormat="1" applyBorder="1" applyAlignment="1">
      <alignment horizontal="center" vertical="center"/>
    </xf>
    <xf numFmtId="0" fontId="8" fillId="0" borderId="1" xfId="0" applyFont="1" applyBorder="1" applyAlignment="1">
      <alignment horizontal="center"/>
    </xf>
    <xf numFmtId="0" fontId="8" fillId="0" borderId="0" xfId="0" applyFont="1"/>
    <xf numFmtId="167" fontId="8" fillId="0" borderId="1" xfId="1" applyNumberFormat="1" applyFont="1" applyBorder="1" applyAlignment="1">
      <alignment horizontal="center" vertical="center"/>
    </xf>
    <xf numFmtId="167" fontId="8" fillId="0" borderId="1" xfId="1" applyNumberFormat="1" applyFont="1" applyBorder="1" applyAlignment="1">
      <alignment horizontal="center"/>
    </xf>
    <xf numFmtId="0" fontId="0" fillId="2" borderId="0" xfId="0" applyFill="1" applyAlignment="1">
      <alignment vertical="center"/>
    </xf>
    <xf numFmtId="0" fontId="8" fillId="2" borderId="1" xfId="0" applyFont="1" applyFill="1" applyBorder="1" applyAlignment="1">
      <alignment horizontal="center"/>
    </xf>
    <xf numFmtId="167" fontId="8" fillId="2" borderId="1" xfId="1" applyNumberFormat="1" applyFont="1" applyFill="1" applyBorder="1" applyAlignment="1">
      <alignment horizontal="center"/>
    </xf>
    <xf numFmtId="0" fontId="8" fillId="2" borderId="1" xfId="0" applyFont="1" applyFill="1" applyBorder="1" applyAlignment="1">
      <alignment horizontal="center" vertical="center" wrapText="1"/>
    </xf>
    <xf numFmtId="166" fontId="8" fillId="2" borderId="1" xfId="0" applyNumberFormat="1" applyFont="1" applyFill="1" applyBorder="1" applyAlignment="1">
      <alignment horizontal="center" vertical="center"/>
    </xf>
    <xf numFmtId="0" fontId="8" fillId="2" borderId="0" xfId="0" applyFont="1" applyFill="1" applyAlignment="1">
      <alignment vertical="center" wrapText="1"/>
    </xf>
    <xf numFmtId="0" fontId="8" fillId="2" borderId="0" xfId="0" applyFont="1" applyFill="1" applyAlignment="1">
      <alignment vertical="center"/>
    </xf>
    <xf numFmtId="0" fontId="8" fillId="0" borderId="1" xfId="0" applyFont="1" applyBorder="1"/>
    <xf numFmtId="0" fontId="8" fillId="2" borderId="0" xfId="0" applyFont="1" applyFill="1" applyAlignment="1">
      <alignment horizontal="center" vertical="center" wrapText="1"/>
    </xf>
    <xf numFmtId="166" fontId="0" fillId="2" borderId="1" xfId="0" applyNumberFormat="1" applyFill="1" applyBorder="1" applyAlignment="1">
      <alignment horizontal="center" vertical="center"/>
    </xf>
    <xf numFmtId="0" fontId="0" fillId="0" borderId="6" xfId="0" applyBorder="1" applyAlignment="1">
      <alignment horizontal="center"/>
    </xf>
    <xf numFmtId="166" fontId="0" fillId="2" borderId="1" xfId="0" applyNumberFormat="1" applyFill="1" applyBorder="1" applyAlignment="1">
      <alignment horizontal="center" vertical="center" wrapText="1"/>
    </xf>
    <xf numFmtId="0" fontId="0" fillId="2" borderId="0" xfId="0" applyFill="1" applyAlignment="1">
      <alignment horizontal="center"/>
    </xf>
    <xf numFmtId="0" fontId="14" fillId="0" borderId="1" xfId="0" applyFont="1" applyBorder="1" applyAlignment="1">
      <alignment horizontal="center" vertical="center"/>
    </xf>
    <xf numFmtId="0" fontId="0" fillId="2" borderId="0" xfId="0" applyFill="1" applyAlignment="1">
      <alignment horizontal="center" vertical="center"/>
    </xf>
    <xf numFmtId="0" fontId="8" fillId="0" borderId="1" xfId="0" applyFont="1" applyBorder="1" applyAlignment="1">
      <alignment vertical="center"/>
    </xf>
    <xf numFmtId="0" fontId="12" fillId="0" borderId="0" xfId="0" applyFont="1" applyAlignment="1">
      <alignment horizontal="center" vertical="center" wrapText="1"/>
    </xf>
    <xf numFmtId="166" fontId="0" fillId="0" borderId="1" xfId="0" applyNumberFormat="1" applyBorder="1" applyAlignment="1">
      <alignment horizontal="center" vertical="center" wrapText="1"/>
    </xf>
    <xf numFmtId="166" fontId="8" fillId="2" borderId="1" xfId="0" applyNumberFormat="1" applyFont="1" applyFill="1" applyBorder="1" applyAlignment="1">
      <alignment horizontal="center" vertical="center" wrapText="1"/>
    </xf>
    <xf numFmtId="0" fontId="8" fillId="2" borderId="1" xfId="0" quotePrefix="1" applyFont="1" applyFill="1" applyBorder="1" applyAlignment="1">
      <alignment horizontal="center" vertical="center" wrapText="1"/>
    </xf>
    <xf numFmtId="0" fontId="0" fillId="0" borderId="1" xfId="0" applyBorder="1" applyAlignment="1">
      <alignment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166" fontId="11" fillId="2" borderId="1" xfId="0" applyNumberFormat="1" applyFont="1" applyFill="1" applyBorder="1" applyAlignment="1">
      <alignment horizontal="center" vertical="center" wrapText="1"/>
    </xf>
    <xf numFmtId="0" fontId="11" fillId="2" borderId="2" xfId="0" applyFont="1" applyFill="1" applyBorder="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vertical="center" wrapText="1"/>
    </xf>
    <xf numFmtId="0" fontId="11" fillId="5" borderId="1" xfId="0" applyFont="1" applyFill="1" applyBorder="1" applyAlignment="1">
      <alignment vertical="center"/>
    </xf>
    <xf numFmtId="0" fontId="11" fillId="0" borderId="1" xfId="0" applyFont="1" applyBorder="1" applyAlignment="1">
      <alignment vertical="center"/>
    </xf>
    <xf numFmtId="0" fontId="11" fillId="4" borderId="1" xfId="0" applyFont="1" applyFill="1" applyBorder="1" applyAlignment="1">
      <alignment vertical="center"/>
    </xf>
    <xf numFmtId="0" fontId="11" fillId="6" borderId="1" xfId="0" applyFont="1" applyFill="1" applyBorder="1" applyAlignment="1">
      <alignment vertical="center"/>
    </xf>
    <xf numFmtId="0" fontId="11" fillId="2" borderId="1" xfId="0" applyFont="1" applyFill="1" applyBorder="1" applyAlignment="1">
      <alignment vertical="center" wrapText="1"/>
    </xf>
    <xf numFmtId="0" fontId="8" fillId="0" borderId="0" xfId="0" applyFont="1" applyAlignment="1">
      <alignment horizontal="center"/>
    </xf>
    <xf numFmtId="0" fontId="8" fillId="0" borderId="1" xfId="0" applyFont="1" applyBorder="1" applyAlignment="1">
      <alignment horizontal="left"/>
    </xf>
    <xf numFmtId="0" fontId="15" fillId="2" borderId="1" xfId="0" quotePrefix="1" applyFont="1" applyFill="1" applyBorder="1" applyAlignment="1">
      <alignment horizontal="center" vertical="center"/>
    </xf>
    <xf numFmtId="0" fontId="8" fillId="2" borderId="0" xfId="0" applyFont="1" applyFill="1"/>
    <xf numFmtId="0" fontId="14" fillId="2" borderId="1" xfId="0" applyFont="1" applyFill="1" applyBorder="1" applyAlignment="1">
      <alignment horizontal="center" vertical="center"/>
    </xf>
    <xf numFmtId="0" fontId="0" fillId="2" borderId="0" xfId="0" applyFill="1" applyAlignment="1">
      <alignment vertical="center" wrapText="1"/>
    </xf>
    <xf numFmtId="0" fontId="12" fillId="2" borderId="0" xfId="0" applyFont="1" applyFill="1" applyAlignment="1">
      <alignment horizontal="center" vertical="center"/>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0" fillId="0" borderId="1" xfId="0" applyBorder="1" applyAlignment="1">
      <alignment horizontal="left" vertical="center" wrapText="1"/>
    </xf>
    <xf numFmtId="0" fontId="8"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0" borderId="1" xfId="0" applyBorder="1" applyAlignment="1">
      <alignment horizontal="left" vertical="center"/>
    </xf>
    <xf numFmtId="0" fontId="8" fillId="2" borderId="1" xfId="0" applyFont="1" applyFill="1" applyBorder="1" applyAlignment="1">
      <alignment horizontal="left" wrapText="1"/>
    </xf>
    <xf numFmtId="0" fontId="5" fillId="6" borderId="1" xfId="0" applyFont="1" applyFill="1" applyBorder="1" applyAlignment="1">
      <alignment horizontal="center"/>
    </xf>
    <xf numFmtId="0" fontId="0" fillId="0" borderId="1" xfId="0" applyBorder="1" applyAlignment="1">
      <alignment horizontal="left"/>
    </xf>
    <xf numFmtId="0" fontId="8" fillId="2" borderId="1" xfId="0" applyFont="1" applyFill="1" applyBorder="1" applyAlignment="1">
      <alignment horizontal="left"/>
    </xf>
    <xf numFmtId="0" fontId="0" fillId="2" borderId="6" xfId="0" applyFill="1" applyBorder="1" applyAlignment="1">
      <alignment horizontal="left"/>
    </xf>
    <xf numFmtId="0" fontId="5" fillId="6" borderId="6" xfId="0" applyFont="1" applyFill="1" applyBorder="1" applyAlignment="1">
      <alignment horizontal="center"/>
    </xf>
    <xf numFmtId="167" fontId="8" fillId="2" borderId="1" xfId="1" applyNumberFormat="1" applyFont="1" applyFill="1" applyBorder="1" applyAlignment="1">
      <alignment horizontal="left"/>
    </xf>
    <xf numFmtId="0" fontId="0" fillId="0" borderId="7" xfId="0" applyBorder="1"/>
    <xf numFmtId="165" fontId="15" fillId="2" borderId="1" xfId="1" applyFont="1" applyFill="1" applyBorder="1" applyAlignment="1">
      <alignment horizontal="center" vertical="center"/>
    </xf>
    <xf numFmtId="167" fontId="15" fillId="2" borderId="1" xfId="1" applyNumberFormat="1" applyFont="1" applyFill="1" applyBorder="1" applyAlignment="1">
      <alignment horizontal="center"/>
    </xf>
    <xf numFmtId="0" fontId="15" fillId="2" borderId="1" xfId="0" applyFont="1" applyFill="1" applyBorder="1" applyAlignment="1">
      <alignment horizontal="left" wrapText="1"/>
    </xf>
    <xf numFmtId="165" fontId="15" fillId="2" borderId="1" xfId="1" applyFont="1" applyFill="1" applyBorder="1" applyAlignment="1">
      <alignment horizontal="center" vertical="center" wrapText="1"/>
    </xf>
    <xf numFmtId="0" fontId="0" fillId="2" borderId="0" xfId="0" applyFill="1" applyAlignment="1">
      <alignment horizontal="center" vertical="center" wrapText="1"/>
    </xf>
    <xf numFmtId="0" fontId="14" fillId="2" borderId="0" xfId="0" applyFont="1" applyFill="1" applyAlignment="1">
      <alignment vertical="center"/>
    </xf>
    <xf numFmtId="0" fontId="14" fillId="2" borderId="0" xfId="0" applyFont="1" applyFill="1" applyAlignment="1">
      <alignment horizontal="center" vertical="center" wrapText="1"/>
    </xf>
    <xf numFmtId="0" fontId="0" fillId="2" borderId="1" xfId="0" applyFill="1" applyBorder="1" applyAlignment="1">
      <alignment vertical="center" wrapText="1"/>
    </xf>
    <xf numFmtId="0" fontId="11" fillId="0" borderId="1" xfId="0" applyFont="1" applyBorder="1" applyAlignment="1">
      <alignment horizontal="center" vertical="center" wrapText="1"/>
    </xf>
    <xf numFmtId="0" fontId="12" fillId="2" borderId="1" xfId="0" applyFont="1" applyFill="1" applyBorder="1" applyAlignment="1">
      <alignment vertical="center" wrapText="1"/>
    </xf>
    <xf numFmtId="0" fontId="0" fillId="2" borderId="0" xfId="0" applyFill="1"/>
    <xf numFmtId="0" fontId="0" fillId="2" borderId="4" xfId="0" applyFill="1" applyBorder="1" applyAlignment="1">
      <alignment horizontal="center" vertical="center"/>
    </xf>
    <xf numFmtId="0" fontId="0" fillId="2" borderId="4" xfId="0" applyFill="1" applyBorder="1" applyAlignment="1">
      <alignment horizontal="center" vertical="center" wrapText="1"/>
    </xf>
    <xf numFmtId="166" fontId="0" fillId="2" borderId="4" xfId="0" applyNumberFormat="1" applyFill="1" applyBorder="1" applyAlignment="1">
      <alignment horizontal="center" vertical="center" wrapText="1"/>
    </xf>
    <xf numFmtId="0" fontId="16" fillId="2" borderId="0" xfId="0" applyFont="1" applyFill="1" applyAlignment="1">
      <alignment vertical="center"/>
    </xf>
    <xf numFmtId="0" fontId="14" fillId="0" borderId="1" xfId="0" applyFont="1" applyBorder="1" applyAlignment="1">
      <alignment horizontal="center" vertical="center" wrapText="1"/>
    </xf>
    <xf numFmtId="0" fontId="9"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xf>
    <xf numFmtId="0" fontId="12" fillId="2" borderId="1" xfId="0" applyFont="1" applyFill="1" applyBorder="1" applyAlignment="1">
      <alignment horizontal="center" vertical="center" wrapText="1"/>
    </xf>
    <xf numFmtId="168" fontId="12"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xf>
    <xf numFmtId="168" fontId="12" fillId="2" borderId="1" xfId="0" applyNumberFormat="1" applyFont="1" applyFill="1" applyBorder="1" applyAlignment="1">
      <alignment vertical="center" wrapText="1"/>
    </xf>
    <xf numFmtId="167" fontId="13" fillId="2" borderId="1" xfId="1" applyNumberFormat="1" applyFont="1" applyFill="1" applyBorder="1" applyAlignment="1">
      <alignment horizontal="center" vertical="center"/>
    </xf>
    <xf numFmtId="165" fontId="16" fillId="2" borderId="1" xfId="1" applyFont="1" applyFill="1" applyBorder="1" applyAlignment="1">
      <alignment horizontal="center" vertical="center"/>
    </xf>
    <xf numFmtId="167" fontId="16" fillId="2" borderId="1" xfId="1" applyNumberFormat="1" applyFont="1" applyFill="1" applyBorder="1" applyAlignment="1">
      <alignment horizontal="center"/>
    </xf>
    <xf numFmtId="0" fontId="14" fillId="2" borderId="0" xfId="0" applyFont="1" applyFill="1" applyAlignment="1">
      <alignment horizontal="center" vertical="center"/>
    </xf>
    <xf numFmtId="165" fontId="8" fillId="2" borderId="1" xfId="1" applyFont="1" applyFill="1" applyBorder="1" applyAlignment="1">
      <alignment horizontal="center" vertical="center"/>
    </xf>
    <xf numFmtId="165" fontId="8" fillId="2" borderId="1" xfId="1" applyFont="1" applyFill="1" applyBorder="1" applyAlignment="1">
      <alignment horizontal="center" vertical="center" wrapText="1"/>
    </xf>
    <xf numFmtId="0" fontId="11" fillId="2" borderId="1" xfId="0" applyFont="1" applyFill="1" applyBorder="1" applyAlignment="1">
      <alignment horizontal="left" vertical="center" wrapText="1"/>
    </xf>
    <xf numFmtId="167" fontId="13" fillId="0" borderId="1" xfId="1" applyNumberFormat="1" applyFont="1" applyBorder="1" applyAlignment="1">
      <alignment horizontal="center" vertical="center"/>
    </xf>
    <xf numFmtId="0" fontId="13" fillId="0" borderId="1" xfId="0" applyFont="1" applyBorder="1" applyAlignment="1">
      <alignment vertical="center"/>
    </xf>
    <xf numFmtId="0" fontId="8" fillId="2" borderId="1" xfId="0" quotePrefix="1" applyFont="1" applyFill="1" applyBorder="1" applyAlignment="1">
      <alignment horizontal="center" vertical="center"/>
    </xf>
    <xf numFmtId="0" fontId="5" fillId="2" borderId="1" xfId="0" applyFont="1" applyFill="1" applyBorder="1" applyAlignment="1">
      <alignment horizontal="center"/>
    </xf>
    <xf numFmtId="0" fontId="4" fillId="2" borderId="0" xfId="0" applyFont="1" applyFill="1" applyAlignment="1">
      <alignment horizontal="center"/>
    </xf>
    <xf numFmtId="0" fontId="4" fillId="7" borderId="1" xfId="0" applyFont="1" applyFill="1" applyBorder="1" applyAlignment="1">
      <alignment horizontal="center" vertical="center"/>
    </xf>
    <xf numFmtId="167" fontId="4" fillId="7" borderId="1" xfId="1" applyNumberFormat="1" applyFont="1" applyFill="1" applyBorder="1" applyAlignment="1">
      <alignment horizontal="center" vertical="center"/>
    </xf>
    <xf numFmtId="0" fontId="13" fillId="2" borderId="1" xfId="0" applyFont="1" applyFill="1" applyBorder="1" applyAlignment="1">
      <alignment vertical="center" wrapText="1"/>
    </xf>
    <xf numFmtId="0" fontId="13" fillId="2" borderId="1" xfId="0" applyFont="1" applyFill="1" applyBorder="1" applyAlignment="1">
      <alignment horizontal="left" vertical="center" wrapText="1"/>
    </xf>
    <xf numFmtId="0" fontId="13" fillId="0" borderId="0" xfId="0" applyFont="1"/>
    <xf numFmtId="0" fontId="17" fillId="0" borderId="0" xfId="0" applyFont="1" applyAlignment="1">
      <alignment horizontal="center" vertical="center"/>
    </xf>
    <xf numFmtId="0" fontId="15" fillId="2" borderId="1" xfId="0" applyFont="1" applyFill="1" applyBorder="1" applyAlignment="1">
      <alignment horizontal="center" wrapText="1"/>
    </xf>
    <xf numFmtId="0" fontId="13" fillId="0" borderId="4" xfId="0" applyFont="1" applyBorder="1" applyAlignment="1">
      <alignment vertical="center"/>
    </xf>
    <xf numFmtId="167" fontId="13" fillId="0" borderId="4" xfId="1" applyNumberFormat="1" applyFont="1" applyBorder="1" applyAlignment="1">
      <alignment horizontal="center" vertical="center"/>
    </xf>
    <xf numFmtId="0" fontId="13" fillId="0" borderId="0" xfId="0" applyFont="1" applyAlignment="1">
      <alignment vertical="center"/>
    </xf>
    <xf numFmtId="167" fontId="13" fillId="0" borderId="0" xfId="1" applyNumberFormat="1" applyFont="1" applyAlignment="1">
      <alignment horizontal="center" vertical="center"/>
    </xf>
    <xf numFmtId="0" fontId="13" fillId="0" borderId="1" xfId="0" applyFont="1" applyBorder="1" applyAlignment="1">
      <alignment horizontal="center" vertical="center"/>
    </xf>
    <xf numFmtId="168" fontId="15" fillId="2" borderId="1" xfId="0" applyNumberFormat="1" applyFont="1" applyFill="1" applyBorder="1" applyAlignment="1">
      <alignment horizontal="center" vertical="center" wrapText="1"/>
    </xf>
    <xf numFmtId="0" fontId="6" fillId="2" borderId="0" xfId="0" applyFont="1" applyFill="1" applyAlignment="1">
      <alignment horizontal="center"/>
    </xf>
    <xf numFmtId="0" fontId="5"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0" fillId="0" borderId="2" xfId="0" applyBorder="1" applyAlignment="1">
      <alignment horizontal="center" vertical="center"/>
    </xf>
    <xf numFmtId="167" fontId="8" fillId="2" borderId="1" xfId="1" applyNumberFormat="1" applyFont="1" applyFill="1" applyBorder="1" applyAlignment="1">
      <alignment horizontal="center" vertical="center"/>
    </xf>
    <xf numFmtId="0" fontId="13" fillId="0" borderId="0" xfId="0" applyFont="1" applyAlignment="1">
      <alignment horizont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4" xfId="0" applyFont="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168" fontId="16" fillId="2" borderId="1" xfId="0" applyNumberFormat="1" applyFont="1" applyFill="1" applyBorder="1" applyAlignment="1">
      <alignment horizontal="center" vertical="center" wrapText="1"/>
    </xf>
    <xf numFmtId="0" fontId="16" fillId="0" borderId="1" xfId="0" applyFont="1" applyBorder="1" applyAlignment="1">
      <alignment horizontal="center" vertical="center"/>
    </xf>
    <xf numFmtId="167" fontId="16" fillId="0" borderId="1" xfId="1" applyNumberFormat="1" applyFont="1" applyBorder="1" applyAlignment="1">
      <alignment horizontal="center" vertical="center"/>
    </xf>
    <xf numFmtId="167" fontId="16" fillId="0" borderId="1" xfId="1" applyNumberFormat="1" applyFont="1" applyBorder="1" applyAlignment="1">
      <alignment horizontal="center"/>
    </xf>
    <xf numFmtId="165" fontId="13" fillId="2" borderId="1" xfId="1" applyFont="1" applyFill="1" applyBorder="1" applyAlignment="1">
      <alignment horizontal="center" vertical="center"/>
    </xf>
    <xf numFmtId="0" fontId="13" fillId="2" borderId="1" xfId="0" applyFont="1" applyFill="1" applyBorder="1" applyAlignment="1">
      <alignment horizontal="left" vertical="center"/>
    </xf>
    <xf numFmtId="0" fontId="16" fillId="2" borderId="1" xfId="0" applyFont="1" applyFill="1" applyBorder="1" applyAlignment="1">
      <alignment horizontal="center"/>
    </xf>
    <xf numFmtId="165" fontId="16" fillId="2" borderId="1" xfId="1" applyFont="1" applyFill="1" applyBorder="1" applyAlignment="1">
      <alignment horizontal="center"/>
    </xf>
    <xf numFmtId="168" fontId="14" fillId="2" borderId="1" xfId="0" applyNumberFormat="1" applyFont="1" applyFill="1" applyBorder="1" applyAlignment="1">
      <alignment horizontal="center" vertical="center" wrapText="1"/>
    </xf>
    <xf numFmtId="0" fontId="16" fillId="0" borderId="1" xfId="0" applyFont="1" applyBorder="1" applyAlignment="1">
      <alignment horizontal="center"/>
    </xf>
    <xf numFmtId="168" fontId="16" fillId="0" borderId="1" xfId="0" applyNumberFormat="1" applyFont="1" applyBorder="1" applyAlignment="1">
      <alignment horizontal="center"/>
    </xf>
    <xf numFmtId="0" fontId="13" fillId="0" borderId="1" xfId="0" applyFont="1" applyBorder="1" applyAlignment="1">
      <alignment horizontal="left" vertical="center" wrapText="1"/>
    </xf>
    <xf numFmtId="0" fontId="11" fillId="2" borderId="2" xfId="0" quotePrefix="1" applyFont="1" applyFill="1" applyBorder="1" applyAlignment="1">
      <alignment vertical="center" wrapText="1"/>
    </xf>
    <xf numFmtId="0" fontId="11" fillId="0" borderId="0" xfId="0" applyFont="1" applyAlignment="1">
      <alignment vertical="center"/>
    </xf>
    <xf numFmtId="0" fontId="11" fillId="0" borderId="1" xfId="0" quotePrefix="1" applyFont="1" applyBorder="1" applyAlignment="1">
      <alignment vertical="center"/>
    </xf>
    <xf numFmtId="0" fontId="11" fillId="0" borderId="2" xfId="0" quotePrefix="1" applyFont="1" applyBorder="1" applyAlignment="1">
      <alignment vertical="center"/>
    </xf>
    <xf numFmtId="0" fontId="11" fillId="2" borderId="2" xfId="0" quotePrefix="1" applyFont="1" applyFill="1" applyBorder="1" applyAlignment="1">
      <alignment horizontal="left" vertical="center" wrapText="1"/>
    </xf>
    <xf numFmtId="0" fontId="11" fillId="2" borderId="1" xfId="0" quotePrefix="1" applyFont="1" applyFill="1" applyBorder="1" applyAlignment="1">
      <alignment horizontal="left" vertical="center" wrapText="1"/>
    </xf>
    <xf numFmtId="0" fontId="11" fillId="0" borderId="1" xfId="0" quotePrefix="1" applyFont="1" applyBorder="1" applyAlignment="1">
      <alignment vertical="center" wrapText="1"/>
    </xf>
    <xf numFmtId="0" fontId="1" fillId="2" borderId="0" xfId="0" applyFont="1" applyFill="1" applyAlignment="1">
      <alignment horizontal="center" vertical="center"/>
    </xf>
    <xf numFmtId="0" fontId="12" fillId="2" borderId="1" xfId="0" applyFont="1" applyFill="1" applyBorder="1" applyAlignment="1">
      <alignment horizontal="left" vertical="center" wrapText="1"/>
    </xf>
    <xf numFmtId="167" fontId="8" fillId="2" borderId="1" xfId="1" applyNumberFormat="1" applyFont="1" applyFill="1" applyBorder="1" applyAlignment="1">
      <alignment horizontal="center" vertical="center" wrapText="1"/>
    </xf>
    <xf numFmtId="0" fontId="11" fillId="2" borderId="0" xfId="0" applyFont="1" applyFill="1" applyAlignment="1">
      <alignment horizontal="center" vertical="center"/>
    </xf>
    <xf numFmtId="0" fontId="13" fillId="0" borderId="4" xfId="0" applyFont="1" applyBorder="1" applyAlignment="1">
      <alignment vertical="center" wrapText="1"/>
    </xf>
    <xf numFmtId="0" fontId="13" fillId="0" borderId="1" xfId="0" applyFont="1" applyBorder="1" applyAlignment="1">
      <alignment horizontal="left" vertical="center"/>
    </xf>
    <xf numFmtId="0" fontId="13" fillId="0" borderId="4" xfId="0" applyFont="1" applyBorder="1" applyAlignment="1">
      <alignment horizontal="left" vertical="center" wrapText="1"/>
    </xf>
    <xf numFmtId="0" fontId="15" fillId="2" borderId="1" xfId="0" applyFont="1" applyFill="1" applyBorder="1" applyAlignment="1">
      <alignment horizontal="center"/>
    </xf>
    <xf numFmtId="0" fontId="15" fillId="2" borderId="0" xfId="0" applyFont="1" applyFill="1"/>
    <xf numFmtId="0" fontId="19" fillId="0" borderId="0" xfId="0" applyFont="1" applyAlignment="1">
      <alignment vertical="center"/>
    </xf>
    <xf numFmtId="0" fontId="8" fillId="0" borderId="1" xfId="0" applyFont="1" applyBorder="1" applyAlignment="1">
      <alignment horizontal="center" vertical="center"/>
    </xf>
    <xf numFmtId="164" fontId="2" fillId="2" borderId="1" xfId="2" applyFont="1" applyFill="1" applyBorder="1" applyAlignment="1">
      <alignment horizontal="center" vertical="center" wrapText="1"/>
    </xf>
    <xf numFmtId="168" fontId="2" fillId="2" borderId="1" xfId="0" applyNumberFormat="1" applyFont="1" applyFill="1" applyBorder="1" applyAlignment="1">
      <alignment horizontal="center" vertical="center" wrapText="1"/>
    </xf>
    <xf numFmtId="0" fontId="0" fillId="2" borderId="6" xfId="0" applyFill="1" applyBorder="1" applyAlignment="1">
      <alignment horizontal="center" vertical="center"/>
    </xf>
    <xf numFmtId="0" fontId="8" fillId="0" borderId="3" xfId="0" applyFont="1" applyBorder="1" applyAlignment="1">
      <alignment horizontal="center" vertical="center"/>
    </xf>
    <xf numFmtId="0" fontId="8" fillId="2" borderId="1" xfId="0" applyFont="1" applyFill="1" applyBorder="1" applyAlignment="1">
      <alignment horizontal="center" wrapText="1"/>
    </xf>
    <xf numFmtId="0" fontId="14"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0" fillId="0" borderId="8" xfId="0" applyBorder="1" applyAlignment="1">
      <alignment horizontal="center"/>
    </xf>
    <xf numFmtId="0" fontId="16" fillId="0" borderId="1" xfId="0" applyFont="1" applyBorder="1" applyAlignment="1">
      <alignment horizontal="center" vertical="center" wrapText="1"/>
    </xf>
    <xf numFmtId="167" fontId="13" fillId="2" borderId="1" xfId="1" applyNumberFormat="1" applyFont="1" applyFill="1" applyBorder="1" applyAlignment="1">
      <alignment vertical="center"/>
    </xf>
    <xf numFmtId="167" fontId="13" fillId="0" borderId="1" xfId="1" applyNumberFormat="1" applyFont="1" applyBorder="1" applyAlignment="1">
      <alignment vertical="center"/>
    </xf>
    <xf numFmtId="165" fontId="13" fillId="2" borderId="1" xfId="1" applyFont="1" applyFill="1" applyBorder="1" applyAlignment="1">
      <alignment horizontal="center" vertical="center" wrapText="1"/>
    </xf>
    <xf numFmtId="0" fontId="11" fillId="0" borderId="0" xfId="0" applyFont="1" applyAlignment="1">
      <alignment horizontal="center" vertical="center"/>
    </xf>
    <xf numFmtId="0" fontId="17" fillId="0" borderId="6" xfId="0" applyFont="1" applyBorder="1" applyAlignment="1">
      <alignment horizontal="center" vertical="center"/>
    </xf>
    <xf numFmtId="0" fontId="18" fillId="2" borderId="1" xfId="0" applyFont="1" applyFill="1" applyBorder="1" applyAlignment="1">
      <alignment horizontal="center" vertical="center" wrapText="1"/>
    </xf>
    <xf numFmtId="0" fontId="17" fillId="0" borderId="0" xfId="0" applyFont="1"/>
    <xf numFmtId="0" fontId="11" fillId="0" borderId="0" xfId="0" applyFont="1" applyAlignment="1">
      <alignment horizontal="center"/>
    </xf>
    <xf numFmtId="0" fontId="11" fillId="2" borderId="1" xfId="0" quotePrefix="1" applyFont="1" applyFill="1" applyBorder="1" applyAlignment="1">
      <alignment vertical="center" wrapText="1"/>
    </xf>
    <xf numFmtId="0" fontId="0" fillId="0" borderId="6" xfId="0" applyBorder="1" applyAlignment="1">
      <alignment horizontal="center" vertical="center"/>
    </xf>
    <xf numFmtId="168" fontId="8" fillId="2" borderId="1" xfId="0" applyNumberFormat="1" applyFont="1" applyFill="1" applyBorder="1" applyAlignment="1">
      <alignment horizontal="center" vertical="center" wrapText="1"/>
    </xf>
    <xf numFmtId="165" fontId="16" fillId="2" borderId="1" xfId="1" applyFont="1" applyFill="1" applyBorder="1" applyAlignment="1">
      <alignment horizontal="center" vertical="center" wrapText="1"/>
    </xf>
    <xf numFmtId="0" fontId="14" fillId="2" borderId="1" xfId="0" applyFont="1" applyFill="1" applyBorder="1" applyAlignment="1">
      <alignment vertical="center" wrapText="1"/>
    </xf>
    <xf numFmtId="0" fontId="11" fillId="0" borderId="1" xfId="0" quotePrefix="1" applyFont="1" applyBorder="1" applyAlignment="1">
      <alignment horizontal="left" vertical="center" wrapText="1"/>
    </xf>
    <xf numFmtId="0" fontId="11" fillId="0" borderId="2" xfId="0" quotePrefix="1" applyFont="1" applyBorder="1" applyAlignment="1">
      <alignment vertical="center" wrapText="1"/>
    </xf>
    <xf numFmtId="165" fontId="18" fillId="2" borderId="1" xfId="1" applyFont="1" applyFill="1" applyBorder="1" applyAlignment="1">
      <alignment horizontal="center" vertical="center"/>
    </xf>
    <xf numFmtId="0" fontId="17" fillId="2" borderId="1" xfId="0" applyFont="1" applyFill="1" applyBorder="1" applyAlignment="1">
      <alignment horizontal="center" vertical="center"/>
    </xf>
    <xf numFmtId="167" fontId="18" fillId="2" borderId="1" xfId="1" applyNumberFormat="1" applyFont="1" applyFill="1" applyBorder="1" applyAlignment="1">
      <alignment horizontal="center"/>
    </xf>
    <xf numFmtId="165" fontId="18" fillId="2" borderId="1" xfId="1" applyFont="1" applyFill="1" applyBorder="1" applyAlignment="1">
      <alignment horizontal="center" vertical="center" wrapText="1"/>
    </xf>
    <xf numFmtId="0" fontId="18" fillId="2" borderId="1" xfId="0" applyFont="1" applyFill="1" applyBorder="1" applyAlignment="1">
      <alignment horizontal="left" wrapText="1"/>
    </xf>
    <xf numFmtId="0" fontId="17" fillId="2" borderId="1" xfId="0" applyFont="1" applyFill="1" applyBorder="1" applyAlignment="1">
      <alignment horizontal="center" vertical="center" wrapText="1"/>
    </xf>
    <xf numFmtId="0" fontId="12" fillId="2" borderId="1" xfId="0" applyFont="1" applyFill="1" applyBorder="1" applyAlignment="1">
      <alignment horizontal="left" vertical="center"/>
    </xf>
    <xf numFmtId="0" fontId="8" fillId="0" borderId="0" xfId="0" applyFont="1" applyAlignment="1">
      <alignment vertical="center"/>
    </xf>
    <xf numFmtId="0" fontId="8" fillId="0" borderId="0" xfId="0" applyFont="1" applyAlignment="1">
      <alignment horizontal="center" vertical="center"/>
    </xf>
    <xf numFmtId="167" fontId="8" fillId="0" borderId="0" xfId="1" applyNumberFormat="1" applyFont="1" applyAlignment="1">
      <alignment horizontal="center" vertical="center"/>
    </xf>
    <xf numFmtId="167" fontId="13" fillId="0" borderId="1" xfId="1" applyNumberFormat="1" applyFont="1" applyBorder="1" applyAlignment="1">
      <alignment horizontal="left" vertical="center"/>
    </xf>
    <xf numFmtId="168" fontId="8" fillId="0" borderId="1" xfId="0" applyNumberFormat="1" applyFont="1" applyBorder="1" applyAlignment="1">
      <alignment horizontal="center" vertical="center"/>
    </xf>
    <xf numFmtId="0" fontId="13" fillId="0" borderId="4" xfId="0" applyFont="1" applyBorder="1" applyAlignment="1">
      <alignment horizontal="left" vertical="center"/>
    </xf>
    <xf numFmtId="0" fontId="13" fillId="0" borderId="0" xfId="0" applyFont="1" applyAlignment="1">
      <alignment vertical="center" wrapText="1"/>
    </xf>
    <xf numFmtId="0" fontId="8" fillId="0" borderId="0" xfId="0" applyFont="1" applyAlignment="1">
      <alignment horizontal="left" vertical="center"/>
    </xf>
    <xf numFmtId="0" fontId="0" fillId="0" borderId="1" xfId="0" applyBorder="1" applyAlignment="1">
      <alignment vertical="center"/>
    </xf>
    <xf numFmtId="0" fontId="16" fillId="2" borderId="1" xfId="0" applyFont="1" applyFill="1" applyBorder="1" applyAlignment="1">
      <alignment vertical="center" wrapText="1"/>
    </xf>
    <xf numFmtId="0" fontId="16" fillId="2" borderId="1" xfId="0" applyFont="1" applyFill="1" applyBorder="1" applyAlignment="1">
      <alignment horizontal="left" vertical="center" wrapText="1"/>
    </xf>
    <xf numFmtId="0" fontId="14" fillId="0" borderId="0" xfId="0" applyFont="1" applyAlignment="1">
      <alignment horizontal="center" vertical="center"/>
    </xf>
    <xf numFmtId="0" fontId="16" fillId="2" borderId="0" xfId="0" applyFont="1" applyFill="1" applyAlignment="1">
      <alignment horizontal="center" vertical="center" wrapText="1"/>
    </xf>
    <xf numFmtId="0" fontId="16" fillId="2" borderId="0" xfId="0" applyFont="1" applyFill="1" applyAlignment="1">
      <alignment vertical="center" wrapText="1"/>
    </xf>
    <xf numFmtId="167" fontId="13" fillId="0" borderId="0" xfId="1" applyNumberFormat="1" applyFont="1" applyAlignment="1">
      <alignment horizontal="center" vertical="center" wrapText="1"/>
    </xf>
    <xf numFmtId="0" fontId="11" fillId="0" borderId="1" xfId="0" quotePrefix="1" applyFont="1" applyBorder="1" applyAlignment="1">
      <alignment horizontal="center" vertical="center" wrapText="1"/>
    </xf>
    <xf numFmtId="167" fontId="15" fillId="2" borderId="1" xfId="2" applyNumberFormat="1" applyFont="1" applyFill="1" applyBorder="1" applyAlignment="1">
      <alignment horizontal="center" vertical="center"/>
    </xf>
    <xf numFmtId="41" fontId="9" fillId="6" borderId="1" xfId="3" applyFont="1" applyFill="1" applyBorder="1" applyAlignment="1">
      <alignment horizontal="center" vertical="center"/>
    </xf>
    <xf numFmtId="41" fontId="11" fillId="2" borderId="1" xfId="3" applyFont="1" applyFill="1" applyBorder="1" applyAlignment="1">
      <alignment horizontal="center" vertical="center" wrapText="1"/>
    </xf>
    <xf numFmtId="41" fontId="15" fillId="2" borderId="1" xfId="3" applyFont="1" applyFill="1" applyBorder="1" applyAlignment="1">
      <alignment horizontal="center" vertical="center" wrapText="1"/>
    </xf>
    <xf numFmtId="41" fontId="11" fillId="0" borderId="0" xfId="3" applyFont="1" applyAlignment="1">
      <alignment horizontal="center" vertical="center"/>
    </xf>
    <xf numFmtId="41" fontId="10" fillId="0" borderId="0" xfId="3" applyFont="1" applyAlignment="1">
      <alignment horizontal="center" vertical="center"/>
    </xf>
    <xf numFmtId="41" fontId="0" fillId="0" borderId="0" xfId="3" applyFont="1" applyAlignment="1">
      <alignment horizontal="center" vertical="center"/>
    </xf>
    <xf numFmtId="0" fontId="13" fillId="0" borderId="0" xfId="0" applyFont="1" applyAlignment="1">
      <alignment horizontal="left" vertical="center" wrapText="1"/>
    </xf>
    <xf numFmtId="41" fontId="0" fillId="2" borderId="1" xfId="3" applyFont="1" applyFill="1" applyBorder="1" applyAlignment="1">
      <alignment horizontal="center" vertical="center" wrapText="1"/>
    </xf>
    <xf numFmtId="41" fontId="8" fillId="2" borderId="1" xfId="3" applyFont="1" applyFill="1" applyBorder="1" applyAlignment="1">
      <alignment horizontal="center" vertical="center" wrapText="1"/>
    </xf>
    <xf numFmtId="0" fontId="0" fillId="0" borderId="0" xfId="0" applyAlignment="1">
      <alignment horizontal="center" vertical="center" wrapText="1"/>
    </xf>
    <xf numFmtId="41" fontId="0" fillId="0" borderId="0" xfId="3" applyFont="1" applyAlignment="1">
      <alignment horizontal="center" vertical="center" wrapText="1"/>
    </xf>
    <xf numFmtId="41" fontId="0" fillId="0" borderId="0" xfId="3" applyFont="1" applyAlignment="1">
      <alignment horizontal="center"/>
    </xf>
    <xf numFmtId="41" fontId="14" fillId="2" borderId="1" xfId="3" applyFont="1" applyFill="1" applyBorder="1" applyAlignment="1">
      <alignment vertical="center" wrapText="1"/>
    </xf>
    <xf numFmtId="0" fontId="14" fillId="0" borderId="0" xfId="0" applyFont="1" applyAlignment="1">
      <alignment horizontal="center"/>
    </xf>
    <xf numFmtId="41" fontId="14" fillId="0" borderId="0" xfId="3" applyFont="1" applyAlignment="1">
      <alignment horizontal="center"/>
    </xf>
    <xf numFmtId="0" fontId="14" fillId="0" borderId="0" xfId="0" applyFont="1"/>
    <xf numFmtId="0" fontId="14" fillId="2" borderId="7" xfId="0" applyFont="1" applyFill="1" applyBorder="1" applyAlignment="1">
      <alignment horizontal="center" vertical="center"/>
    </xf>
    <xf numFmtId="41" fontId="11" fillId="0" borderId="1" xfId="3" applyFont="1" applyBorder="1" applyAlignment="1">
      <alignment vertical="center"/>
    </xf>
    <xf numFmtId="0" fontId="11" fillId="0" borderId="0" xfId="0" applyFont="1" applyAlignment="1">
      <alignment horizontal="center" vertical="center" wrapText="1"/>
    </xf>
    <xf numFmtId="41" fontId="10" fillId="0" borderId="0" xfId="3" applyFont="1" applyAlignment="1">
      <alignment vertical="center"/>
    </xf>
    <xf numFmtId="41" fontId="0" fillId="0" borderId="0" xfId="3" applyFont="1" applyAlignment="1">
      <alignment vertical="center"/>
    </xf>
    <xf numFmtId="41" fontId="20" fillId="0" borderId="0" xfId="3" applyFont="1" applyAlignment="1">
      <alignment horizontal="center" vertical="center"/>
    </xf>
    <xf numFmtId="0" fontId="9" fillId="6" borderId="1" xfId="0" applyFont="1" applyFill="1" applyBorder="1" applyAlignment="1">
      <alignment horizontal="left" vertical="center"/>
    </xf>
    <xf numFmtId="0" fontId="15" fillId="2" borderId="1" xfId="0" applyFont="1" applyFill="1" applyBorder="1" applyAlignment="1">
      <alignment horizontal="left" vertical="center" wrapText="1"/>
    </xf>
    <xf numFmtId="0" fontId="15" fillId="2" borderId="1" xfId="0" applyFont="1" applyFill="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wrapText="1"/>
    </xf>
    <xf numFmtId="0" fontId="0" fillId="0" borderId="0" xfId="0" applyAlignment="1">
      <alignment horizontal="left" vertical="center"/>
    </xf>
    <xf numFmtId="0" fontId="11" fillId="0" borderId="1" xfId="0" applyFont="1" applyBorder="1" applyAlignment="1">
      <alignment horizontal="left" vertical="center" wrapText="1"/>
    </xf>
    <xf numFmtId="0" fontId="14" fillId="2" borderId="6" xfId="0" applyFont="1" applyFill="1" applyBorder="1" applyAlignment="1">
      <alignment horizontal="center" vertical="center"/>
    </xf>
    <xf numFmtId="0" fontId="14" fillId="0" borderId="9" xfId="0" applyFont="1" applyBorder="1" applyAlignment="1">
      <alignment horizontal="left" vertical="center"/>
    </xf>
    <xf numFmtId="41" fontId="14" fillId="0" borderId="1" xfId="3" applyFont="1" applyBorder="1" applyAlignment="1">
      <alignment vertical="center"/>
    </xf>
    <xf numFmtId="0" fontId="14" fillId="0" borderId="1" xfId="0" applyFont="1" applyBorder="1" applyAlignment="1">
      <alignment horizontal="center"/>
    </xf>
    <xf numFmtId="0" fontId="14" fillId="0" borderId="1" xfId="0" applyFont="1" applyBorder="1"/>
    <xf numFmtId="0" fontId="14" fillId="0" borderId="0" xfId="0" applyFont="1" applyAlignment="1">
      <alignment horizontal="center" vertical="center" wrapText="1"/>
    </xf>
    <xf numFmtId="0" fontId="14" fillId="0" borderId="3" xfId="0" applyFont="1" applyBorder="1"/>
    <xf numFmtId="41" fontId="16" fillId="2" borderId="1" xfId="3" applyFont="1" applyFill="1" applyBorder="1" applyAlignment="1">
      <alignment horizontal="center" vertical="center" wrapText="1"/>
    </xf>
    <xf numFmtId="0" fontId="16" fillId="2" borderId="1" xfId="0" quotePrefix="1" applyFont="1" applyFill="1" applyBorder="1" applyAlignment="1">
      <alignment horizontal="center" vertical="center" wrapText="1"/>
    </xf>
    <xf numFmtId="0" fontId="14" fillId="0" borderId="0" xfId="0" applyFont="1" applyAlignment="1">
      <alignment horizontal="left" vertical="center"/>
    </xf>
    <xf numFmtId="41" fontId="14" fillId="0" borderId="0" xfId="3" applyFont="1" applyAlignment="1">
      <alignment horizontal="center" vertical="center"/>
    </xf>
    <xf numFmtId="0" fontId="16" fillId="0" borderId="1" xfId="0" applyFont="1" applyBorder="1" applyAlignment="1">
      <alignment horizontal="left" vertical="center"/>
    </xf>
    <xf numFmtId="41" fontId="16" fillId="0" borderId="1" xfId="3" applyFont="1" applyBorder="1" applyAlignment="1">
      <alignment horizontal="center" vertical="center"/>
    </xf>
    <xf numFmtId="0" fontId="16" fillId="0" borderId="1" xfId="0" applyFont="1" applyBorder="1" applyAlignment="1">
      <alignment horizontal="left" vertical="center" wrapText="1"/>
    </xf>
    <xf numFmtId="0" fontId="14" fillId="0" borderId="0" xfId="0" applyFont="1" applyAlignment="1">
      <alignment horizontal="left" vertical="center" wrapText="1"/>
    </xf>
    <xf numFmtId="0" fontId="14" fillId="0" borderId="0" xfId="0" quotePrefix="1" applyFont="1" applyAlignment="1">
      <alignment horizontal="center" wrapText="1"/>
    </xf>
    <xf numFmtId="0" fontId="14" fillId="0" borderId="0" xfId="0" applyFont="1" applyAlignment="1">
      <alignment horizontal="center" wrapText="1"/>
    </xf>
    <xf numFmtId="0" fontId="14" fillId="0" borderId="3" xfId="0" applyFont="1" applyBorder="1" applyAlignment="1">
      <alignment horizontal="left" vertical="center"/>
    </xf>
    <xf numFmtId="0" fontId="14" fillId="0" borderId="1" xfId="0" applyFont="1" applyBorder="1" applyAlignment="1">
      <alignment horizontal="left" vertical="center" wrapText="1"/>
    </xf>
    <xf numFmtId="0" fontId="14" fillId="0" borderId="1" xfId="0" applyFont="1" applyBorder="1" applyAlignment="1">
      <alignment horizontal="left" vertical="center"/>
    </xf>
    <xf numFmtId="169" fontId="14" fillId="0" borderId="1" xfId="0" applyNumberFormat="1" applyFont="1" applyBorder="1" applyAlignment="1">
      <alignment horizontal="center" vertical="center"/>
    </xf>
    <xf numFmtId="0" fontId="14" fillId="0" borderId="1" xfId="0" applyFont="1" applyBorder="1" applyAlignment="1">
      <alignment vertical="center"/>
    </xf>
    <xf numFmtId="0" fontId="14" fillId="0" borderId="0" xfId="0" applyFont="1" applyAlignment="1">
      <alignment vertical="center"/>
    </xf>
    <xf numFmtId="0" fontId="14" fillId="0" borderId="4" xfId="0" applyFont="1" applyBorder="1" applyAlignment="1">
      <alignment horizontal="left" vertical="center"/>
    </xf>
    <xf numFmtId="41" fontId="14" fillId="0" borderId="4" xfId="3" applyFont="1" applyBorder="1" applyAlignment="1">
      <alignment vertical="center"/>
    </xf>
    <xf numFmtId="0" fontId="14" fillId="0" borderId="4" xfId="0"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vertical="center"/>
    </xf>
    <xf numFmtId="0" fontId="9" fillId="6" borderId="1" xfId="0" applyFont="1" applyFill="1" applyBorder="1" applyAlignment="1">
      <alignment horizontal="left" vertical="center" wrapText="1"/>
    </xf>
    <xf numFmtId="41" fontId="11" fillId="2" borderId="1" xfId="3" applyFont="1" applyFill="1" applyBorder="1" applyAlignment="1">
      <alignment horizontal="center" vertical="center"/>
    </xf>
    <xf numFmtId="0" fontId="9" fillId="6" borderId="2" xfId="0" applyFont="1" applyFill="1" applyBorder="1" applyAlignment="1">
      <alignment horizontal="center" vertical="center" wrapText="1"/>
    </xf>
    <xf numFmtId="0" fontId="11" fillId="0" borderId="0" xfId="0" applyFont="1"/>
    <xf numFmtId="41" fontId="11" fillId="0" borderId="0" xfId="3" applyFont="1" applyAlignment="1">
      <alignment vertical="center"/>
    </xf>
    <xf numFmtId="0" fontId="11" fillId="0" borderId="0" xfId="0" applyFont="1" applyAlignment="1">
      <alignment wrapText="1"/>
    </xf>
    <xf numFmtId="0" fontId="11" fillId="2" borderId="0" xfId="0" applyFont="1" applyFill="1" applyAlignment="1">
      <alignment vertical="center"/>
    </xf>
    <xf numFmtId="0" fontId="11" fillId="0" borderId="0" xfId="0" applyFont="1" applyAlignment="1">
      <alignment vertical="center" wrapText="1"/>
    </xf>
    <xf numFmtId="41" fontId="20" fillId="0" borderId="10" xfId="3" applyFont="1" applyBorder="1" applyAlignment="1">
      <alignment vertical="center"/>
    </xf>
    <xf numFmtId="0" fontId="23" fillId="0" borderId="0" xfId="0" applyFont="1" applyAlignment="1">
      <alignment horizontal="left" vertical="center" wrapText="1"/>
    </xf>
    <xf numFmtId="0" fontId="11" fillId="0" borderId="1" xfId="0" applyFont="1" applyBorder="1" applyAlignment="1">
      <alignment wrapText="1"/>
    </xf>
    <xf numFmtId="0" fontId="14" fillId="0" borderId="3" xfId="0" applyFont="1" applyBorder="1" applyAlignment="1">
      <alignment horizontal="center" vertical="center"/>
    </xf>
    <xf numFmtId="0" fontId="14" fillId="2" borderId="3" xfId="0" applyFont="1" applyFill="1" applyBorder="1" applyAlignment="1">
      <alignment vertical="center" wrapText="1"/>
    </xf>
    <xf numFmtId="0" fontId="11" fillId="2" borderId="3" xfId="0" applyFont="1" applyFill="1" applyBorder="1" applyAlignment="1">
      <alignment horizontal="center" vertical="center"/>
    </xf>
    <xf numFmtId="0" fontId="15" fillId="2" borderId="3" xfId="0" applyFont="1" applyFill="1" applyBorder="1"/>
    <xf numFmtId="0" fontId="14" fillId="0" borderId="3" xfId="0" applyFont="1" applyBorder="1" applyAlignment="1">
      <alignment vertical="center"/>
    </xf>
    <xf numFmtId="0" fontId="14" fillId="0" borderId="7" xfId="0" applyFont="1" applyBorder="1" applyAlignment="1">
      <alignment horizontal="center" vertical="center"/>
    </xf>
    <xf numFmtId="0" fontId="14" fillId="0" borderId="3" xfId="0" applyFont="1" applyBorder="1" applyAlignment="1">
      <alignment horizontal="center" vertical="center" wrapText="1"/>
    </xf>
    <xf numFmtId="0" fontId="14" fillId="0" borderId="3" xfId="0" applyFont="1" applyBorder="1" applyAlignment="1">
      <alignment horizontal="center"/>
    </xf>
    <xf numFmtId="41" fontId="9" fillId="6" borderId="1" xfId="3" applyFont="1" applyFill="1" applyBorder="1" applyAlignment="1">
      <alignment horizontal="center" vertical="center" wrapText="1"/>
    </xf>
    <xf numFmtId="0" fontId="11" fillId="2" borderId="1" xfId="0" quotePrefix="1" applyFont="1" applyFill="1" applyBorder="1" applyAlignment="1">
      <alignment horizontal="center" vertical="center" wrapText="1"/>
    </xf>
    <xf numFmtId="0" fontId="11" fillId="8" borderId="1" xfId="0" applyFont="1" applyFill="1" applyBorder="1" applyAlignment="1">
      <alignment horizontal="center" vertical="center"/>
    </xf>
    <xf numFmtId="0" fontId="11" fillId="8" borderId="1" xfId="0" applyFont="1" applyFill="1" applyBorder="1" applyAlignment="1">
      <alignment horizontal="left" vertical="center" wrapText="1"/>
    </xf>
    <xf numFmtId="41" fontId="11" fillId="8" borderId="1" xfId="3"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8" borderId="1" xfId="0" applyFont="1" applyFill="1" applyBorder="1" applyAlignment="1">
      <alignment wrapText="1"/>
    </xf>
    <xf numFmtId="0" fontId="11" fillId="8" borderId="0" xfId="0" applyFont="1" applyFill="1"/>
    <xf numFmtId="0" fontId="11" fillId="9" borderId="0" xfId="0" applyFont="1" applyFill="1"/>
    <xf numFmtId="0" fontId="11" fillId="10" borderId="1" xfId="0" applyFont="1" applyFill="1" applyBorder="1" applyAlignment="1">
      <alignment horizontal="center" vertical="center"/>
    </xf>
    <xf numFmtId="0" fontId="11" fillId="10" borderId="1" xfId="0" applyFont="1" applyFill="1" applyBorder="1" applyAlignment="1">
      <alignment horizontal="left" vertical="center" wrapText="1"/>
    </xf>
    <xf numFmtId="41" fontId="11" fillId="10" borderId="1" xfId="3" applyFont="1" applyFill="1" applyBorder="1" applyAlignment="1">
      <alignment vertical="center"/>
    </xf>
    <xf numFmtId="41" fontId="11" fillId="10" borderId="1" xfId="3"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10" borderId="1" xfId="0" applyFont="1" applyFill="1" applyBorder="1" applyAlignment="1">
      <alignment wrapText="1"/>
    </xf>
    <xf numFmtId="0" fontId="11" fillId="10" borderId="0" xfId="0" applyFont="1" applyFill="1"/>
    <xf numFmtId="41" fontId="11" fillId="8" borderId="1" xfId="3" applyFont="1" applyFill="1" applyBorder="1" applyAlignment="1">
      <alignment vertical="center"/>
    </xf>
    <xf numFmtId="14" fontId="11" fillId="8" borderId="1" xfId="0" applyNumberFormat="1" applyFont="1" applyFill="1" applyBorder="1" applyAlignment="1">
      <alignment horizontal="center" vertical="center" wrapText="1"/>
    </xf>
    <xf numFmtId="14" fontId="11" fillId="9" borderId="1" xfId="0" applyNumberFormat="1" applyFont="1" applyFill="1" applyBorder="1" applyAlignment="1">
      <alignment horizontal="center" vertical="center" wrapText="1"/>
    </xf>
    <xf numFmtId="0" fontId="11" fillId="0" borderId="7" xfId="0" applyFont="1" applyBorder="1" applyAlignment="1">
      <alignment horizontal="center" vertical="center" wrapText="1"/>
    </xf>
    <xf numFmtId="0" fontId="14" fillId="0" borderId="1" xfId="0" applyFont="1" applyBorder="1" applyAlignment="1">
      <alignment wrapText="1"/>
    </xf>
    <xf numFmtId="0" fontId="14" fillId="0" borderId="1" xfId="0" applyFont="1" applyBorder="1" applyAlignment="1">
      <alignment horizontal="center" wrapText="1"/>
    </xf>
    <xf numFmtId="0" fontId="14" fillId="8" borderId="1" xfId="0" applyFont="1" applyFill="1" applyBorder="1" applyAlignment="1">
      <alignment horizontal="left" vertical="center" wrapText="1"/>
    </xf>
    <xf numFmtId="41" fontId="14" fillId="8" borderId="1" xfId="3" applyFont="1" applyFill="1" applyBorder="1" applyAlignment="1">
      <alignment horizontal="center" vertical="center"/>
    </xf>
    <xf numFmtId="0" fontId="14" fillId="8" borderId="1" xfId="0" applyFont="1" applyFill="1" applyBorder="1" applyAlignment="1">
      <alignment horizontal="center" vertical="center" wrapText="1"/>
    </xf>
    <xf numFmtId="0" fontId="14" fillId="8" borderId="1" xfId="0" applyFont="1" applyFill="1" applyBorder="1" applyAlignment="1">
      <alignment horizontal="center" vertical="center"/>
    </xf>
    <xf numFmtId="0" fontId="14" fillId="8" borderId="0" xfId="0" applyFont="1" applyFill="1"/>
    <xf numFmtId="0" fontId="26" fillId="9" borderId="0" xfId="4" applyFont="1" applyFill="1" applyAlignment="1">
      <alignment horizontal="left" vertical="center" wrapText="1"/>
    </xf>
    <xf numFmtId="41" fontId="11" fillId="9" borderId="0" xfId="3" applyFont="1" applyFill="1" applyAlignment="1">
      <alignment vertical="center"/>
    </xf>
    <xf numFmtId="41" fontId="11" fillId="9" borderId="4" xfId="3" applyFont="1" applyFill="1" applyBorder="1" applyAlignment="1">
      <alignment horizontal="center" vertical="center" wrapText="1"/>
    </xf>
    <xf numFmtId="0" fontId="11" fillId="9" borderId="0" xfId="0" applyFont="1" applyFill="1" applyAlignment="1">
      <alignment horizontal="center" vertical="center" wrapText="1"/>
    </xf>
    <xf numFmtId="0" fontId="11" fillId="9" borderId="4" xfId="0" applyFont="1" applyFill="1" applyBorder="1" applyAlignment="1">
      <alignment horizontal="center" vertical="center"/>
    </xf>
    <xf numFmtId="14" fontId="11" fillId="9" borderId="4" xfId="0" applyNumberFormat="1"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9" borderId="4" xfId="0" applyFont="1" applyFill="1" applyBorder="1" applyAlignment="1">
      <alignment wrapText="1"/>
    </xf>
    <xf numFmtId="41" fontId="11" fillId="8" borderId="1" xfId="3" applyFont="1" applyFill="1" applyBorder="1" applyAlignment="1">
      <alignment horizontal="center" vertical="center"/>
    </xf>
    <xf numFmtId="0" fontId="11" fillId="8" borderId="0" xfId="0" applyFont="1" applyFill="1" applyAlignment="1">
      <alignment horizontal="center" vertical="center"/>
    </xf>
    <xf numFmtId="41" fontId="11" fillId="0" borderId="1" xfId="3" applyFont="1" applyBorder="1" applyAlignment="1">
      <alignment horizontal="center" vertical="center"/>
    </xf>
    <xf numFmtId="0" fontId="11" fillId="0" borderId="1" xfId="0" applyFont="1" applyBorder="1"/>
    <xf numFmtId="0" fontId="11" fillId="0" borderId="2" xfId="0" quotePrefix="1" applyFont="1" applyBorder="1" applyAlignment="1">
      <alignment horizontal="center" vertical="center" wrapText="1"/>
    </xf>
    <xf numFmtId="0" fontId="11" fillId="8" borderId="1" xfId="0" applyFont="1" applyFill="1" applyBorder="1"/>
    <xf numFmtId="41" fontId="11" fillId="0" borderId="4" xfId="3" applyFont="1" applyBorder="1" applyAlignment="1">
      <alignment vertical="center"/>
    </xf>
    <xf numFmtId="41" fontId="11" fillId="0" borderId="1" xfId="3" applyFont="1" applyFill="1" applyBorder="1" applyAlignment="1">
      <alignment horizontal="center" vertical="center" wrapText="1"/>
    </xf>
    <xf numFmtId="0" fontId="11" fillId="0" borderId="4" xfId="0" applyFont="1" applyBorder="1" applyAlignment="1">
      <alignment horizontal="left" vertical="center" wrapText="1"/>
    </xf>
    <xf numFmtId="41" fontId="11" fillId="0" borderId="4" xfId="3" applyFont="1" applyFill="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xf numFmtId="0" fontId="11" fillId="0" borderId="4" xfId="0" applyFont="1" applyBorder="1" applyAlignment="1">
      <alignment wrapText="1"/>
    </xf>
    <xf numFmtId="0" fontId="11" fillId="4" borderId="1" xfId="0" applyFont="1" applyFill="1" applyBorder="1" applyAlignment="1">
      <alignment horizontal="center" vertical="center"/>
    </xf>
    <xf numFmtId="0" fontId="11" fillId="4" borderId="1" xfId="0" applyFont="1" applyFill="1" applyBorder="1" applyAlignment="1">
      <alignment horizontal="left" vertical="center" wrapText="1"/>
    </xf>
    <xf numFmtId="41" fontId="11" fillId="4" borderId="1" xfId="3" applyFont="1" applyFill="1" applyBorder="1" applyAlignment="1">
      <alignment vertical="center"/>
    </xf>
    <xf numFmtId="41" fontId="11" fillId="4" borderId="1" xfId="3"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wrapText="1"/>
    </xf>
    <xf numFmtId="0" fontId="11" fillId="4" borderId="0" xfId="0" applyFont="1" applyFill="1"/>
    <xf numFmtId="0" fontId="11" fillId="8" borderId="1" xfId="0" applyFont="1" applyFill="1" applyBorder="1" applyAlignment="1">
      <alignment vertical="center" wrapText="1"/>
    </xf>
    <xf numFmtId="41" fontId="11" fillId="0" borderId="1" xfId="3" applyFont="1" applyFill="1" applyBorder="1" applyAlignment="1">
      <alignment vertical="center"/>
    </xf>
    <xf numFmtId="41" fontId="11" fillId="0" borderId="4" xfId="3" applyFont="1" applyBorder="1" applyAlignment="1">
      <alignment horizontal="center" vertical="center"/>
    </xf>
    <xf numFmtId="3" fontId="11" fillId="0" borderId="1" xfId="0" applyNumberFormat="1" applyFont="1" applyBorder="1" applyAlignment="1">
      <alignment horizontal="center" vertical="center"/>
    </xf>
    <xf numFmtId="41" fontId="11" fillId="0" borderId="1" xfId="3" applyFont="1" applyBorder="1"/>
    <xf numFmtId="0" fontId="11" fillId="11" borderId="1" xfId="0" applyFont="1" applyFill="1" applyBorder="1" applyAlignment="1">
      <alignment horizontal="center" vertical="center"/>
    </xf>
    <xf numFmtId="0" fontId="11" fillId="11" borderId="1" xfId="0" applyFont="1" applyFill="1" applyBorder="1" applyAlignment="1">
      <alignment horizontal="left" vertical="center" wrapText="1"/>
    </xf>
    <xf numFmtId="41" fontId="11" fillId="11" borderId="1" xfId="3" applyFont="1" applyFill="1" applyBorder="1"/>
    <xf numFmtId="0" fontId="11" fillId="11" borderId="1" xfId="0" applyFont="1" applyFill="1" applyBorder="1" applyAlignment="1">
      <alignment horizontal="center" wrapText="1"/>
    </xf>
    <xf numFmtId="0" fontId="11" fillId="11" borderId="1" xfId="0" applyFont="1" applyFill="1" applyBorder="1"/>
    <xf numFmtId="0" fontId="11" fillId="11" borderId="1" xfId="0" applyFont="1" applyFill="1" applyBorder="1" applyAlignment="1">
      <alignment wrapText="1"/>
    </xf>
    <xf numFmtId="0" fontId="11" fillId="11" borderId="1" xfId="0" applyFont="1" applyFill="1" applyBorder="1" applyAlignment="1">
      <alignment horizontal="center" vertical="center" wrapText="1"/>
    </xf>
    <xf numFmtId="41" fontId="11" fillId="4" borderId="1" xfId="3" applyFont="1" applyFill="1" applyBorder="1" applyAlignment="1">
      <alignment horizontal="center" vertical="center"/>
    </xf>
    <xf numFmtId="0" fontId="11" fillId="4" borderId="1" xfId="0" applyFont="1" applyFill="1" applyBorder="1"/>
    <xf numFmtId="0" fontId="11" fillId="11" borderId="0" xfId="0" applyFont="1" applyFill="1"/>
    <xf numFmtId="0" fontId="11" fillId="0" borderId="2" xfId="0" applyFont="1" applyBorder="1"/>
    <xf numFmtId="0" fontId="11" fillId="11" borderId="2" xfId="0" applyFont="1" applyFill="1" applyBorder="1"/>
    <xf numFmtId="3" fontId="11" fillId="0" borderId="1" xfId="0" applyNumberFormat="1" applyFont="1" applyBorder="1" applyAlignment="1">
      <alignment vertical="center"/>
    </xf>
    <xf numFmtId="3" fontId="11" fillId="11" borderId="1" xfId="0" applyNumberFormat="1" applyFont="1" applyFill="1" applyBorder="1" applyAlignment="1">
      <alignment vertical="center"/>
    </xf>
    <xf numFmtId="3" fontId="11" fillId="11" borderId="1" xfId="0" applyNumberFormat="1" applyFont="1" applyFill="1" applyBorder="1"/>
    <xf numFmtId="3" fontId="11" fillId="0" borderId="1" xfId="0" applyNumberFormat="1" applyFont="1" applyBorder="1"/>
    <xf numFmtId="41" fontId="11" fillId="0" borderId="0" xfId="3" applyFont="1"/>
    <xf numFmtId="0" fontId="11" fillId="12" borderId="0" xfId="0" applyFont="1" applyFill="1" applyAlignment="1">
      <alignment horizontal="center" vertical="center"/>
    </xf>
    <xf numFmtId="0" fontId="11" fillId="12" borderId="0" xfId="0" applyFont="1" applyFill="1" applyAlignment="1">
      <alignment horizontal="left" vertical="center" wrapText="1"/>
    </xf>
    <xf numFmtId="0" fontId="11" fillId="12" borderId="0" xfId="0" applyFont="1" applyFill="1"/>
    <xf numFmtId="0" fontId="11" fillId="12" borderId="0" xfId="0" applyFont="1" applyFill="1" applyAlignment="1">
      <alignment wrapText="1"/>
    </xf>
    <xf numFmtId="0" fontId="11" fillId="12" borderId="0" xfId="0" applyFont="1" applyFill="1" applyAlignment="1">
      <alignment horizontal="center" vertical="center" wrapText="1"/>
    </xf>
    <xf numFmtId="0" fontId="23" fillId="0" borderId="0" xfId="0" applyFont="1" applyAlignment="1">
      <alignment horizontal="left"/>
    </xf>
    <xf numFmtId="3" fontId="11" fillId="0" borderId="0" xfId="0" applyNumberFormat="1" applyFont="1"/>
    <xf numFmtId="0" fontId="11" fillId="11" borderId="0" xfId="0" applyFont="1" applyFill="1" applyAlignment="1">
      <alignment horizontal="center" vertical="center"/>
    </xf>
    <xf numFmtId="0" fontId="11" fillId="11" borderId="0" xfId="0" applyFont="1" applyFill="1" applyAlignment="1">
      <alignment horizontal="left" vertical="center" wrapText="1"/>
    </xf>
    <xf numFmtId="0" fontId="11" fillId="11" borderId="0" xfId="0" applyFont="1" applyFill="1" applyAlignment="1">
      <alignment wrapText="1"/>
    </xf>
    <xf numFmtId="0" fontId="11" fillId="11" borderId="0" xfId="0" applyFont="1" applyFill="1" applyAlignment="1">
      <alignment horizontal="center" vertical="center" wrapText="1"/>
    </xf>
    <xf numFmtId="3" fontId="11" fillId="11" borderId="0" xfId="0" applyNumberFormat="1" applyFont="1" applyFill="1"/>
    <xf numFmtId="0" fontId="11" fillId="2" borderId="0" xfId="0" applyFont="1" applyFill="1"/>
    <xf numFmtId="0" fontId="11" fillId="2" borderId="1" xfId="0" applyFont="1" applyFill="1" applyBorder="1"/>
    <xf numFmtId="0" fontId="11" fillId="2" borderId="1" xfId="0" applyFont="1" applyFill="1" applyBorder="1" applyAlignment="1">
      <alignment wrapText="1"/>
    </xf>
    <xf numFmtId="41" fontId="11" fillId="2" borderId="1" xfId="3" applyFont="1" applyFill="1" applyBorder="1"/>
    <xf numFmtId="0" fontId="11" fillId="13" borderId="1" xfId="0" applyFont="1" applyFill="1" applyBorder="1" applyAlignment="1">
      <alignment horizontal="center" vertical="center"/>
    </xf>
    <xf numFmtId="0" fontId="11" fillId="13" borderId="1" xfId="0" applyFont="1" applyFill="1" applyBorder="1" applyAlignment="1">
      <alignment horizontal="center" vertical="center" wrapText="1"/>
    </xf>
    <xf numFmtId="0" fontId="11" fillId="13" borderId="0" xfId="0" applyFont="1" applyFill="1"/>
    <xf numFmtId="0" fontId="11" fillId="12" borderId="1" xfId="0" applyFont="1" applyFill="1" applyBorder="1" applyAlignment="1">
      <alignment horizontal="left" vertical="center" wrapText="1"/>
    </xf>
    <xf numFmtId="0" fontId="11" fillId="12" borderId="1" xfId="0" applyFont="1" applyFill="1" applyBorder="1"/>
    <xf numFmtId="0" fontId="11" fillId="12" borderId="1" xfId="0" applyFont="1" applyFill="1" applyBorder="1" applyAlignment="1">
      <alignment wrapText="1"/>
    </xf>
    <xf numFmtId="0" fontId="11" fillId="12" borderId="1" xfId="0" applyFont="1" applyFill="1" applyBorder="1" applyAlignment="1">
      <alignment horizontal="center" vertical="center" wrapText="1"/>
    </xf>
    <xf numFmtId="0" fontId="11" fillId="13" borderId="0" xfId="0" applyFont="1" applyFill="1" applyAlignment="1">
      <alignment horizontal="center" vertical="center"/>
    </xf>
    <xf numFmtId="0" fontId="11" fillId="13" borderId="0" xfId="0" applyFont="1" applyFill="1" applyAlignment="1">
      <alignment horizontal="left" vertical="center" wrapText="1"/>
    </xf>
    <xf numFmtId="41" fontId="11" fillId="13" borderId="0" xfId="3" applyFont="1" applyFill="1"/>
    <xf numFmtId="0" fontId="11" fillId="13" borderId="0" xfId="0" applyFont="1" applyFill="1" applyAlignment="1">
      <alignment wrapText="1"/>
    </xf>
    <xf numFmtId="0" fontId="11" fillId="13" borderId="0" xfId="0" applyFont="1" applyFill="1" applyAlignment="1">
      <alignment horizontal="center" vertical="center" wrapText="1"/>
    </xf>
    <xf numFmtId="3" fontId="11" fillId="13" borderId="0" xfId="0" applyNumberFormat="1" applyFont="1" applyFill="1"/>
    <xf numFmtId="41" fontId="11" fillId="11" borderId="1" xfId="3" applyFont="1" applyFill="1" applyBorder="1" applyAlignment="1">
      <alignment vertical="center"/>
    </xf>
    <xf numFmtId="0" fontId="11" fillId="11" borderId="1" xfId="0" applyFont="1" applyFill="1" applyBorder="1" applyAlignment="1">
      <alignment vertical="center" wrapText="1"/>
    </xf>
    <xf numFmtId="0" fontId="11" fillId="12" borderId="1" xfId="0" applyFont="1" applyFill="1" applyBorder="1" applyAlignment="1">
      <alignment vertical="center" wrapText="1"/>
    </xf>
    <xf numFmtId="3" fontId="11" fillId="12" borderId="1" xfId="0" applyNumberFormat="1" applyFont="1" applyFill="1" applyBorder="1" applyAlignment="1">
      <alignment vertical="center"/>
    </xf>
    <xf numFmtId="41" fontId="11" fillId="12" borderId="0" xfId="3" applyFont="1" applyFill="1" applyAlignment="1">
      <alignment vertical="center"/>
    </xf>
    <xf numFmtId="41" fontId="11" fillId="0" borderId="1" xfId="3" applyFont="1" applyFill="1" applyBorder="1" applyAlignment="1">
      <alignment horizontal="center" vertical="center"/>
    </xf>
    <xf numFmtId="41" fontId="11" fillId="0" borderId="1" xfId="3" applyFont="1" applyFill="1" applyBorder="1"/>
    <xf numFmtId="41" fontId="11" fillId="0" borderId="0" xfId="3" applyFont="1" applyFill="1"/>
    <xf numFmtId="17" fontId="11" fillId="0" borderId="0" xfId="0" applyNumberFormat="1" applyFont="1" applyAlignment="1">
      <alignment wrapText="1"/>
    </xf>
    <xf numFmtId="41" fontId="11" fillId="0" borderId="0" xfId="3" applyFont="1" applyFill="1" applyAlignment="1">
      <alignment vertical="center"/>
    </xf>
    <xf numFmtId="41" fontId="11" fillId="12" borderId="0" xfId="3" applyFont="1" applyFill="1"/>
    <xf numFmtId="0" fontId="11" fillId="12" borderId="0" xfId="0" applyFont="1" applyFill="1" applyAlignment="1">
      <alignment vertical="center" wrapText="1"/>
    </xf>
    <xf numFmtId="3" fontId="11" fillId="0" borderId="0" xfId="0" applyNumberFormat="1" applyFont="1" applyAlignment="1">
      <alignment vertical="center"/>
    </xf>
    <xf numFmtId="0" fontId="11" fillId="8" borderId="4" xfId="0" applyFont="1" applyFill="1" applyBorder="1" applyAlignment="1">
      <alignment horizontal="center" vertical="center"/>
    </xf>
    <xf numFmtId="0" fontId="11" fillId="8" borderId="4" xfId="0" applyFont="1" applyFill="1" applyBorder="1" applyAlignment="1">
      <alignment horizontal="left" vertical="center" wrapText="1"/>
    </xf>
    <xf numFmtId="41" fontId="11" fillId="8" borderId="4" xfId="3" applyFont="1" applyFill="1" applyBorder="1" applyAlignment="1">
      <alignment vertical="center"/>
    </xf>
    <xf numFmtId="41" fontId="11" fillId="8" borderId="4" xfId="3" applyFont="1" applyFill="1" applyBorder="1" applyAlignment="1">
      <alignment horizontal="center" vertical="center" wrapText="1"/>
    </xf>
    <xf numFmtId="0" fontId="11" fillId="8" borderId="4" xfId="0" applyFont="1" applyFill="1" applyBorder="1" applyAlignment="1">
      <alignment wrapText="1"/>
    </xf>
    <xf numFmtId="0" fontId="11" fillId="8" borderId="4" xfId="0" applyFont="1" applyFill="1" applyBorder="1" applyAlignment="1">
      <alignment horizontal="center" vertical="center" wrapText="1"/>
    </xf>
    <xf numFmtId="0" fontId="11" fillId="8" borderId="4" xfId="0" applyFont="1" applyFill="1" applyBorder="1" applyAlignment="1">
      <alignment vertical="center" wrapText="1"/>
    </xf>
    <xf numFmtId="41" fontId="11" fillId="12" borderId="1" xfId="3" applyFont="1" applyFill="1" applyBorder="1" applyAlignment="1">
      <alignment vertical="center"/>
    </xf>
    <xf numFmtId="3" fontId="11" fillId="0" borderId="0" xfId="0" applyNumberFormat="1" applyFont="1" applyAlignment="1">
      <alignment horizontal="right" vertical="center"/>
    </xf>
    <xf numFmtId="0" fontId="11" fillId="8" borderId="1" xfId="0" applyFont="1" applyFill="1" applyBorder="1" applyAlignment="1">
      <alignment horizontal="left" vertical="center"/>
    </xf>
    <xf numFmtId="0" fontId="11" fillId="12" borderId="1" xfId="0" applyFont="1" applyFill="1" applyBorder="1" applyAlignment="1">
      <alignment horizontal="center" vertical="center"/>
    </xf>
    <xf numFmtId="41" fontId="11" fillId="12" borderId="1" xfId="3" applyFont="1" applyFill="1" applyBorder="1" applyAlignment="1">
      <alignment horizontal="right" vertical="center"/>
    </xf>
    <xf numFmtId="0" fontId="11" fillId="14" borderId="0" xfId="0" applyFont="1" applyFill="1"/>
    <xf numFmtId="0" fontId="11" fillId="14" borderId="0" xfId="0" applyFont="1" applyFill="1" applyAlignment="1">
      <alignment wrapText="1"/>
    </xf>
    <xf numFmtId="0" fontId="11" fillId="14" borderId="0" xfId="0" applyFont="1" applyFill="1" applyAlignment="1">
      <alignment horizontal="center" vertical="center" wrapText="1"/>
    </xf>
    <xf numFmtId="3" fontId="11" fillId="0" borderId="1" xfId="0" applyNumberFormat="1" applyFont="1" applyBorder="1" applyAlignment="1">
      <alignment horizontal="right" vertical="center"/>
    </xf>
    <xf numFmtId="0" fontId="11" fillId="8" borderId="2"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1" fillId="11" borderId="11" xfId="0" applyFont="1" applyFill="1" applyBorder="1"/>
    <xf numFmtId="0" fontId="11" fillId="11" borderId="11" xfId="0" applyFont="1" applyFill="1" applyBorder="1" applyAlignment="1">
      <alignment wrapText="1"/>
    </xf>
    <xf numFmtId="0" fontId="11" fillId="11" borderId="11" xfId="0" applyFont="1" applyFill="1" applyBorder="1" applyAlignment="1">
      <alignment horizontal="center" vertical="center" wrapText="1"/>
    </xf>
    <xf numFmtId="3" fontId="11" fillId="0" borderId="1" xfId="0" applyNumberFormat="1" applyFont="1" applyBorder="1" applyAlignment="1">
      <alignment wrapText="1"/>
    </xf>
    <xf numFmtId="41" fontId="11" fillId="12" borderId="1" xfId="3" applyFont="1" applyFill="1" applyBorder="1"/>
    <xf numFmtId="0" fontId="11" fillId="14" borderId="1" xfId="0" applyFont="1" applyFill="1" applyBorder="1" applyAlignment="1">
      <alignment horizontal="left" vertical="center" wrapText="1"/>
    </xf>
    <xf numFmtId="0" fontId="11" fillId="14" borderId="1" xfId="0" applyFont="1" applyFill="1" applyBorder="1"/>
    <xf numFmtId="0" fontId="11" fillId="14" borderId="1" xfId="0" applyFont="1" applyFill="1" applyBorder="1" applyAlignment="1">
      <alignment wrapText="1"/>
    </xf>
    <xf numFmtId="0" fontId="11" fillId="14" borderId="1" xfId="0" applyFont="1" applyFill="1" applyBorder="1" applyAlignment="1">
      <alignment horizontal="center" vertical="center" wrapText="1"/>
    </xf>
    <xf numFmtId="0" fontId="11" fillId="12" borderId="11" xfId="0" applyFont="1" applyFill="1" applyBorder="1" applyAlignment="1">
      <alignment horizontal="left" vertical="center" wrapText="1"/>
    </xf>
    <xf numFmtId="3" fontId="11" fillId="14" borderId="2" xfId="0" applyNumberFormat="1" applyFont="1" applyFill="1" applyBorder="1"/>
    <xf numFmtId="41" fontId="11" fillId="11" borderId="2" xfId="3" applyFont="1" applyFill="1" applyBorder="1"/>
    <xf numFmtId="0" fontId="11" fillId="11" borderId="11" xfId="0" applyFont="1" applyFill="1" applyBorder="1" applyAlignment="1">
      <alignment vertical="center" wrapText="1"/>
    </xf>
    <xf numFmtId="41" fontId="11" fillId="11" borderId="2" xfId="3" applyFont="1" applyFill="1" applyBorder="1" applyAlignment="1">
      <alignment vertical="center"/>
    </xf>
    <xf numFmtId="0" fontId="11" fillId="11" borderId="4" xfId="0" applyFont="1" applyFill="1" applyBorder="1" applyAlignment="1">
      <alignment horizontal="left" vertical="center" wrapText="1"/>
    </xf>
    <xf numFmtId="0" fontId="11" fillId="11" borderId="4" xfId="0" applyFont="1" applyFill="1" applyBorder="1"/>
    <xf numFmtId="0" fontId="11" fillId="11" borderId="4" xfId="0" applyFont="1" applyFill="1" applyBorder="1" applyAlignment="1">
      <alignment wrapText="1"/>
    </xf>
    <xf numFmtId="0" fontId="11" fillId="11" borderId="4" xfId="0" applyFont="1" applyFill="1" applyBorder="1" applyAlignment="1">
      <alignment horizontal="center" vertical="center" wrapText="1"/>
    </xf>
    <xf numFmtId="41" fontId="11" fillId="0" borderId="4" xfId="3" applyFont="1" applyBorder="1"/>
    <xf numFmtId="0" fontId="11" fillId="11" borderId="4" xfId="0" applyFont="1" applyFill="1" applyBorder="1" applyAlignment="1">
      <alignment vertical="center" wrapText="1"/>
    </xf>
    <xf numFmtId="0" fontId="11" fillId="12" borderId="4" xfId="0" applyFont="1" applyFill="1" applyBorder="1" applyAlignment="1">
      <alignment horizontal="left" vertical="center" wrapText="1"/>
    </xf>
    <xf numFmtId="0" fontId="11" fillId="12" borderId="4" xfId="0" applyFont="1" applyFill="1" applyBorder="1" applyAlignment="1">
      <alignment horizontal="center" vertical="center"/>
    </xf>
    <xf numFmtId="41" fontId="11" fillId="12" borderId="4" xfId="3" applyFont="1" applyFill="1" applyBorder="1" applyAlignment="1">
      <alignment vertical="center"/>
    </xf>
    <xf numFmtId="0" fontId="11" fillId="12" borderId="4" xfId="0" applyFont="1" applyFill="1" applyBorder="1"/>
    <xf numFmtId="0" fontId="11" fillId="12" borderId="4" xfId="0" applyFont="1" applyFill="1" applyBorder="1" applyAlignment="1">
      <alignment vertical="center" wrapText="1"/>
    </xf>
    <xf numFmtId="0" fontId="11" fillId="12" borderId="4" xfId="0" applyFont="1" applyFill="1" applyBorder="1" applyAlignment="1">
      <alignment wrapText="1"/>
    </xf>
    <xf numFmtId="0" fontId="11" fillId="12" borderId="4" xfId="0" applyFont="1" applyFill="1" applyBorder="1" applyAlignment="1">
      <alignment horizontal="center" vertical="center" wrapText="1"/>
    </xf>
    <xf numFmtId="41" fontId="11" fillId="8" borderId="1" xfId="3" applyFont="1" applyFill="1" applyBorder="1" applyAlignment="1">
      <alignment vertical="center" wrapText="1"/>
    </xf>
    <xf numFmtId="41" fontId="11" fillId="11" borderId="4" xfId="3" applyFont="1" applyFill="1" applyBorder="1" applyAlignment="1">
      <alignment horizontal="center" vertical="center" wrapText="1"/>
    </xf>
    <xf numFmtId="41" fontId="11" fillId="11" borderId="12" xfId="3" applyFont="1" applyFill="1" applyBorder="1" applyAlignment="1">
      <alignment vertical="center"/>
    </xf>
    <xf numFmtId="3" fontId="11" fillId="11" borderId="4" xfId="0" applyNumberFormat="1" applyFont="1" applyFill="1" applyBorder="1" applyAlignment="1">
      <alignment vertical="center"/>
    </xf>
    <xf numFmtId="3" fontId="11" fillId="0" borderId="2" xfId="0" applyNumberFormat="1" applyFont="1" applyBorder="1"/>
    <xf numFmtId="41" fontId="11" fillId="0" borderId="2" xfId="3" applyFont="1" applyBorder="1"/>
    <xf numFmtId="3" fontId="11" fillId="0" borderId="4" xfId="0" applyNumberFormat="1" applyFont="1" applyBorder="1"/>
    <xf numFmtId="0" fontId="11" fillId="15" borderId="1" xfId="0" applyFont="1" applyFill="1" applyBorder="1" applyAlignment="1">
      <alignment wrapText="1"/>
    </xf>
    <xf numFmtId="0" fontId="9" fillId="6" borderId="4" xfId="0" applyFont="1" applyFill="1" applyBorder="1" applyAlignment="1">
      <alignment horizontal="center" vertical="center"/>
    </xf>
    <xf numFmtId="0" fontId="9" fillId="6" borderId="4" xfId="0" applyFont="1" applyFill="1" applyBorder="1" applyAlignment="1">
      <alignment horizontal="left" vertical="center" wrapText="1"/>
    </xf>
    <xf numFmtId="41" fontId="9" fillId="6" borderId="4" xfId="3" applyFont="1" applyFill="1" applyBorder="1" applyAlignment="1">
      <alignment horizontal="center" vertical="center" wrapText="1"/>
    </xf>
    <xf numFmtId="41" fontId="9" fillId="6" borderId="4" xfId="3" applyFont="1" applyFill="1" applyBorder="1" applyAlignment="1">
      <alignment horizontal="center" vertical="center"/>
    </xf>
    <xf numFmtId="0" fontId="9" fillId="6" borderId="4"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11" fillId="0" borderId="11" xfId="0" applyFont="1" applyBorder="1" applyAlignment="1">
      <alignment horizontal="center" vertical="center"/>
    </xf>
    <xf numFmtId="0" fontId="11" fillId="8" borderId="11" xfId="0" applyFont="1" applyFill="1" applyBorder="1" applyAlignment="1">
      <alignment horizontal="left" vertical="center" wrapText="1"/>
    </xf>
    <xf numFmtId="41" fontId="11" fillId="8" borderId="6" xfId="3" applyFont="1" applyFill="1" applyBorder="1" applyAlignment="1">
      <alignment vertical="center"/>
    </xf>
    <xf numFmtId="41" fontId="11" fillId="8" borderId="6" xfId="3" applyFont="1" applyFill="1" applyBorder="1" applyAlignment="1">
      <alignment horizontal="center" vertical="center" wrapText="1"/>
    </xf>
    <xf numFmtId="0" fontId="11" fillId="8" borderId="6" xfId="0" applyFont="1" applyFill="1" applyBorder="1" applyAlignment="1">
      <alignment horizontal="left" vertical="center" wrapText="1"/>
    </xf>
    <xf numFmtId="0" fontId="11" fillId="8" borderId="6" xfId="0" applyFont="1" applyFill="1" applyBorder="1" applyAlignment="1">
      <alignment horizontal="center" vertical="center"/>
    </xf>
    <xf numFmtId="0" fontId="11" fillId="8" borderId="6" xfId="0" applyFont="1" applyFill="1" applyBorder="1" applyAlignment="1">
      <alignment wrapText="1"/>
    </xf>
    <xf numFmtId="0" fontId="11" fillId="8" borderId="6" xfId="0" applyFont="1" applyFill="1" applyBorder="1" applyAlignment="1">
      <alignment horizontal="center" vertical="center" wrapText="1"/>
    </xf>
    <xf numFmtId="0" fontId="11" fillId="8" borderId="6" xfId="0" applyFont="1" applyFill="1" applyBorder="1" applyAlignment="1">
      <alignment vertical="center" wrapText="1"/>
    </xf>
    <xf numFmtId="0" fontId="11" fillId="11" borderId="1" xfId="0" applyFont="1" applyFill="1" applyBorder="1" applyAlignment="1">
      <alignment vertical="center"/>
    </xf>
    <xf numFmtId="0" fontId="11" fillId="9" borderId="1" xfId="0" applyFont="1" applyFill="1" applyBorder="1" applyAlignment="1">
      <alignment wrapText="1"/>
    </xf>
    <xf numFmtId="3" fontId="11" fillId="11" borderId="1" xfId="0" applyNumberFormat="1" applyFont="1" applyFill="1" applyBorder="1" applyAlignment="1">
      <alignment horizontal="center" vertical="center"/>
    </xf>
    <xf numFmtId="3" fontId="11" fillId="8" borderId="1" xfId="0" applyNumberFormat="1" applyFont="1" applyFill="1" applyBorder="1"/>
    <xf numFmtId="0" fontId="11" fillId="9" borderId="1" xfId="0" applyFont="1" applyFill="1" applyBorder="1" applyAlignment="1">
      <alignment horizontal="left" vertical="center" wrapText="1"/>
    </xf>
    <xf numFmtId="41" fontId="11" fillId="8" borderId="1" xfId="3" applyFont="1" applyFill="1" applyBorder="1"/>
    <xf numFmtId="4" fontId="11" fillId="0" borderId="1" xfId="0" applyNumberFormat="1" applyFont="1" applyBorder="1"/>
    <xf numFmtId="165" fontId="11" fillId="8" borderId="1" xfId="1" applyFont="1" applyFill="1" applyBorder="1"/>
    <xf numFmtId="165" fontId="11" fillId="11" borderId="1" xfId="1" applyFont="1" applyFill="1" applyBorder="1"/>
    <xf numFmtId="165" fontId="11" fillId="8" borderId="1" xfId="1" applyFont="1" applyFill="1" applyBorder="1" applyAlignment="1">
      <alignment horizontal="center" vertical="center"/>
    </xf>
    <xf numFmtId="4" fontId="11" fillId="11" borderId="1" xfId="0" applyNumberFormat="1" applyFont="1" applyFill="1" applyBorder="1"/>
    <xf numFmtId="165" fontId="11" fillId="0" borderId="0" xfId="1" applyFont="1"/>
    <xf numFmtId="0" fontId="11" fillId="9" borderId="1" xfId="0" applyFont="1" applyFill="1" applyBorder="1" applyAlignment="1">
      <alignment vertical="center" wrapText="1"/>
    </xf>
    <xf numFmtId="0" fontId="11" fillId="0" borderId="4" xfId="0" applyFont="1" applyBorder="1" applyAlignment="1">
      <alignment horizontal="center" vertical="center"/>
    </xf>
    <xf numFmtId="0" fontId="11" fillId="16" borderId="11" xfId="0" applyFont="1" applyFill="1" applyBorder="1" applyAlignment="1">
      <alignment horizontal="center" vertical="center"/>
    </xf>
    <xf numFmtId="0" fontId="11" fillId="17" borderId="1" xfId="0" applyFont="1" applyFill="1" applyBorder="1" applyAlignment="1">
      <alignment wrapText="1"/>
    </xf>
    <xf numFmtId="0" fontId="11" fillId="17" borderId="0" xfId="0" applyFont="1" applyFill="1" applyAlignment="1">
      <alignment wrapText="1"/>
    </xf>
    <xf numFmtId="0" fontId="11" fillId="17" borderId="1" xfId="0" applyFont="1" applyFill="1" applyBorder="1" applyAlignment="1">
      <alignment horizontal="center" vertical="center"/>
    </xf>
    <xf numFmtId="0" fontId="11" fillId="16" borderId="1" xfId="0" applyFont="1" applyFill="1" applyBorder="1" applyAlignment="1">
      <alignment vertical="center" wrapText="1"/>
    </xf>
    <xf numFmtId="0" fontId="11" fillId="16" borderId="1" xfId="0" applyFont="1" applyFill="1" applyBorder="1" applyAlignment="1">
      <alignment wrapText="1"/>
    </xf>
    <xf numFmtId="0" fontId="11" fillId="14" borderId="11" xfId="0" applyFont="1" applyFill="1" applyBorder="1" applyAlignment="1">
      <alignment horizontal="center" vertical="center"/>
    </xf>
    <xf numFmtId="0" fontId="11" fillId="9" borderId="1" xfId="0" applyFont="1" applyFill="1" applyBorder="1" applyAlignment="1">
      <alignment horizontal="center" vertical="center"/>
    </xf>
    <xf numFmtId="0" fontId="11" fillId="9" borderId="11" xfId="0" applyFont="1" applyFill="1" applyBorder="1" applyAlignment="1">
      <alignment horizontal="center" vertical="center"/>
    </xf>
    <xf numFmtId="41" fontId="11" fillId="11" borderId="0" xfId="3" applyFont="1" applyFill="1"/>
    <xf numFmtId="14" fontId="11" fillId="0" borderId="1" xfId="0" applyNumberFormat="1" applyFont="1" applyBorder="1" applyAlignment="1">
      <alignment horizontal="center" vertical="center" wrapText="1"/>
    </xf>
    <xf numFmtId="3" fontId="31" fillId="0" borderId="1" xfId="0" applyNumberFormat="1" applyFont="1" applyBorder="1"/>
    <xf numFmtId="41" fontId="11" fillId="0" borderId="1" xfId="3" applyFont="1" applyBorder="1" applyAlignment="1">
      <alignment wrapText="1"/>
    </xf>
    <xf numFmtId="41" fontId="11" fillId="18" borderId="1" xfId="3" applyFont="1" applyFill="1" applyBorder="1"/>
    <xf numFmtId="0" fontId="11" fillId="13" borderId="1" xfId="0" applyFont="1" applyFill="1" applyBorder="1" applyAlignment="1">
      <alignment horizontal="left" vertical="center" wrapText="1"/>
    </xf>
    <xf numFmtId="3" fontId="11" fillId="13" borderId="1" xfId="0" applyNumberFormat="1" applyFont="1" applyFill="1" applyBorder="1"/>
    <xf numFmtId="0" fontId="11" fillId="13" borderId="1" xfId="0" applyFont="1" applyFill="1" applyBorder="1"/>
    <xf numFmtId="0" fontId="11" fillId="13" borderId="1" xfId="0" applyFont="1" applyFill="1" applyBorder="1" applyAlignment="1">
      <alignment wrapText="1"/>
    </xf>
    <xf numFmtId="3" fontId="11" fillId="0" borderId="1" xfId="0" applyNumberFormat="1" applyFont="1" applyBorder="1" applyAlignment="1">
      <alignment horizontal="right" wrapText="1"/>
    </xf>
    <xf numFmtId="41" fontId="11" fillId="0" borderId="13" xfId="3" applyFont="1" applyBorder="1"/>
    <xf numFmtId="0" fontId="11" fillId="16" borderId="4" xfId="0" applyFont="1" applyFill="1" applyBorder="1" applyAlignment="1">
      <alignment vertical="center" wrapText="1"/>
    </xf>
    <xf numFmtId="165" fontId="11" fillId="0" borderId="1" xfId="1" applyFont="1" applyBorder="1"/>
    <xf numFmtId="0" fontId="0" fillId="0" borderId="1" xfId="0" applyBorder="1"/>
    <xf numFmtId="0" fontId="23" fillId="0" borderId="0" xfId="0" applyFont="1" applyAlignment="1">
      <alignment horizontal="left" vertical="center"/>
    </xf>
    <xf numFmtId="3" fontId="11" fillId="12" borderId="1" xfId="3" applyNumberFormat="1" applyFont="1" applyFill="1" applyBorder="1"/>
    <xf numFmtId="0" fontId="11" fillId="6" borderId="1" xfId="0" applyFont="1" applyFill="1" applyBorder="1" applyAlignment="1">
      <alignment horizontal="left" vertical="center" wrapText="1"/>
    </xf>
    <xf numFmtId="0" fontId="32" fillId="0" borderId="1" xfId="0" applyFont="1" applyBorder="1" applyAlignment="1">
      <alignment vertical="center" wrapText="1"/>
    </xf>
    <xf numFmtId="0" fontId="21" fillId="0" borderId="1" xfId="0" applyFont="1" applyBorder="1" applyAlignment="1">
      <alignment wrapText="1"/>
    </xf>
    <xf numFmtId="0" fontId="11" fillId="19" borderId="1" xfId="0" applyFont="1" applyFill="1" applyBorder="1" applyAlignment="1">
      <alignment horizontal="center" vertical="center"/>
    </xf>
    <xf numFmtId="3" fontId="11" fillId="8" borderId="2" xfId="0" applyNumberFormat="1" applyFont="1" applyFill="1" applyBorder="1"/>
    <xf numFmtId="41" fontId="11" fillId="8" borderId="2" xfId="3" applyFont="1" applyFill="1" applyBorder="1" applyAlignment="1">
      <alignment vertical="center"/>
    </xf>
    <xf numFmtId="41" fontId="11" fillId="8" borderId="13" xfId="3" applyFont="1" applyFill="1" applyBorder="1" applyAlignment="1">
      <alignment vertical="center"/>
    </xf>
    <xf numFmtId="3" fontId="11" fillId="8" borderId="1" xfId="0" applyNumberFormat="1" applyFont="1" applyFill="1" applyBorder="1" applyAlignment="1">
      <alignment vertical="center"/>
    </xf>
    <xf numFmtId="44" fontId="11" fillId="8" borderId="6" xfId="0" applyNumberFormat="1" applyFont="1" applyFill="1" applyBorder="1"/>
    <xf numFmtId="41" fontId="9" fillId="6" borderId="2" xfId="3" applyFont="1" applyFill="1" applyBorder="1" applyAlignment="1">
      <alignment horizontal="center" vertical="center"/>
    </xf>
    <xf numFmtId="0" fontId="0" fillId="0" borderId="2" xfId="0" applyBorder="1"/>
    <xf numFmtId="44" fontId="11" fillId="0" borderId="0" xfId="0" applyNumberFormat="1" applyFont="1"/>
    <xf numFmtId="0" fontId="21" fillId="0" borderId="0" xfId="0" applyFont="1" applyAlignment="1">
      <alignment vertical="center"/>
    </xf>
    <xf numFmtId="0" fontId="21" fillId="0" borderId="5" xfId="0" applyFont="1" applyBorder="1" applyAlignment="1">
      <alignment vertical="center"/>
    </xf>
    <xf numFmtId="41" fontId="11" fillId="11" borderId="1" xfId="3" applyFont="1" applyFill="1" applyBorder="1" applyAlignment="1">
      <alignment horizontal="center" vertical="center"/>
    </xf>
    <xf numFmtId="41" fontId="11" fillId="11" borderId="4" xfId="3" applyFont="1" applyFill="1" applyBorder="1"/>
    <xf numFmtId="0" fontId="11" fillId="11" borderId="4" xfId="0" applyFont="1" applyFill="1" applyBorder="1" applyAlignment="1">
      <alignment horizontal="center" vertical="center"/>
    </xf>
    <xf numFmtId="0" fontId="21" fillId="11" borderId="1" xfId="0" applyFont="1" applyFill="1" applyBorder="1" applyAlignment="1">
      <alignment horizontal="center" wrapText="1"/>
    </xf>
    <xf numFmtId="41" fontId="11" fillId="11" borderId="1" xfId="3" applyFont="1" applyFill="1" applyBorder="1" applyAlignment="1">
      <alignment wrapText="1"/>
    </xf>
    <xf numFmtId="0" fontId="11" fillId="11" borderId="11" xfId="0" applyFont="1" applyFill="1" applyBorder="1" applyAlignment="1">
      <alignment horizontal="center" vertical="center"/>
    </xf>
    <xf numFmtId="165" fontId="11" fillId="11" borderId="1" xfId="1" applyFont="1" applyFill="1" applyBorder="1" applyAlignment="1">
      <alignment vertical="center"/>
    </xf>
    <xf numFmtId="3" fontId="33" fillId="0" borderId="1" xfId="0" applyNumberFormat="1" applyFont="1" applyBorder="1"/>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41" fontId="9" fillId="2" borderId="1" xfId="3" applyFont="1" applyFill="1" applyBorder="1" applyAlignment="1">
      <alignment horizontal="center" vertical="center" wrapText="1"/>
    </xf>
    <xf numFmtId="41" fontId="9" fillId="2" borderId="1" xfId="3" applyFont="1" applyFill="1" applyBorder="1" applyAlignment="1">
      <alignment horizontal="center" vertical="center"/>
    </xf>
    <xf numFmtId="0" fontId="9" fillId="2" borderId="1" xfId="0" applyFont="1" applyFill="1" applyBorder="1" applyAlignment="1">
      <alignment horizontal="center" vertical="center" wrapText="1"/>
    </xf>
    <xf numFmtId="0" fontId="11" fillId="2" borderId="0" xfId="0" applyFont="1" applyFill="1" applyAlignment="1">
      <alignment horizontal="left" vertical="center" wrapText="1"/>
    </xf>
    <xf numFmtId="0" fontId="11" fillId="2" borderId="0" xfId="0" applyFont="1" applyFill="1" applyAlignment="1">
      <alignment wrapText="1"/>
    </xf>
    <xf numFmtId="0" fontId="11" fillId="2" borderId="0" xfId="0" applyFont="1" applyFill="1" applyAlignment="1">
      <alignment horizontal="center" vertical="center" wrapText="1"/>
    </xf>
    <xf numFmtId="41" fontId="11" fillId="2" borderId="0" xfId="3" applyFont="1" applyFill="1"/>
    <xf numFmtId="0" fontId="11" fillId="2" borderId="1" xfId="0" applyFont="1" applyFill="1" applyBorder="1" applyAlignment="1">
      <alignment vertical="center"/>
    </xf>
    <xf numFmtId="0" fontId="11" fillId="2" borderId="2" xfId="0" applyFont="1" applyFill="1" applyBorder="1"/>
    <xf numFmtId="167" fontId="11" fillId="2" borderId="0" xfId="1" applyNumberFormat="1" applyFont="1" applyFill="1"/>
    <xf numFmtId="0" fontId="11" fillId="17" borderId="1" xfId="0" applyFont="1" applyFill="1" applyBorder="1" applyAlignment="1">
      <alignment horizontal="center" vertical="center" wrapText="1"/>
    </xf>
    <xf numFmtId="0" fontId="11" fillId="17" borderId="0" xfId="0" applyFont="1" applyFill="1" applyAlignment="1">
      <alignment horizontal="center" vertical="center" wrapText="1"/>
    </xf>
    <xf numFmtId="0" fontId="11" fillId="17" borderId="5" xfId="0" applyFont="1" applyFill="1" applyBorder="1" applyAlignment="1">
      <alignment horizontal="center" vertical="center" wrapText="1"/>
    </xf>
    <xf numFmtId="9" fontId="11" fillId="17" borderId="0" xfId="7" applyFont="1" applyFill="1" applyAlignment="1">
      <alignment horizontal="center"/>
    </xf>
    <xf numFmtId="0" fontId="11" fillId="19" borderId="4" xfId="0" applyFont="1" applyFill="1" applyBorder="1" applyAlignment="1">
      <alignment horizontal="center" vertical="center"/>
    </xf>
    <xf numFmtId="0" fontId="21" fillId="0" borderId="4" xfId="0" applyFont="1" applyBorder="1" applyAlignment="1">
      <alignment wrapText="1"/>
    </xf>
    <xf numFmtId="0" fontId="32" fillId="0" borderId="1" xfId="0" applyFont="1" applyBorder="1" applyAlignment="1">
      <alignment wrapText="1"/>
    </xf>
    <xf numFmtId="3" fontId="11" fillId="0" borderId="6" xfId="0" applyNumberFormat="1" applyFont="1" applyBorder="1"/>
    <xf numFmtId="165" fontId="11" fillId="0" borderId="4" xfId="1" applyFont="1" applyBorder="1"/>
    <xf numFmtId="0" fontId="22" fillId="0" borderId="5" xfId="0" applyFont="1" applyBorder="1" applyAlignment="1">
      <alignment horizontal="center" vertical="center"/>
    </xf>
    <xf numFmtId="0" fontId="11" fillId="0" borderId="0" xfId="0" applyFont="1" applyAlignment="1">
      <alignment horizontal="left" vertical="center" indent="1"/>
    </xf>
    <xf numFmtId="0" fontId="11" fillId="0" borderId="5" xfId="0" applyFont="1" applyBorder="1" applyAlignment="1">
      <alignment horizontal="left" vertical="center" indent="1"/>
    </xf>
  </cellXfs>
  <cellStyles count="8">
    <cellStyle name="Comma" xfId="1" builtinId="3"/>
    <cellStyle name="Comma [0]" xfId="3" builtinId="6"/>
    <cellStyle name="Comma [0] 2" xfId="5" xr:uid="{00000000-0005-0000-0000-000002000000}"/>
    <cellStyle name="Currency" xfId="2" builtinId="4"/>
    <cellStyle name="Hyperlink 2 22" xfId="6" xr:uid="{00000000-0005-0000-0000-000004000000}"/>
    <cellStyle name="Normal" xfId="0" builtinId="0"/>
    <cellStyle name="Normal 2" xfId="4" xr:uid="{00000000-0005-0000-0000-000006000000}"/>
    <cellStyle name="Percent" xfId="7" builtinId="5"/>
  </cellStyles>
  <dxfs count="19">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F66FF"/>
      <color rgb="FFFF99FF"/>
      <color rgb="FFFF33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4002-4751-4632-AC7B-A33F4CB40D5D}">
  <dimension ref="A1:O48"/>
  <sheetViews>
    <sheetView topLeftCell="A3" zoomScale="55" zoomScaleNormal="55" workbookViewId="0">
      <selection activeCell="E5" sqref="E5"/>
    </sheetView>
  </sheetViews>
  <sheetFormatPr defaultRowHeight="14.5" x14ac:dyDescent="0.35"/>
  <cols>
    <col min="1" max="1" width="7" bestFit="1" customWidth="1"/>
    <col min="2" max="2" width="44.54296875" customWidth="1"/>
    <col min="3" max="3" width="30.54296875" bestFit="1" customWidth="1"/>
    <col min="4" max="4" width="10.453125" bestFit="1" customWidth="1"/>
    <col min="6" max="6" width="24.453125" customWidth="1"/>
    <col min="7" max="7" width="6.54296875" bestFit="1" customWidth="1"/>
    <col min="8" max="8" width="20.54296875" bestFit="1" customWidth="1"/>
    <col min="9" max="9" width="25.54296875" bestFit="1" customWidth="1"/>
    <col min="10" max="10" width="22.81640625" bestFit="1" customWidth="1"/>
    <col min="11" max="11" width="51.54296875" customWidth="1"/>
    <col min="12" max="12" width="24.54296875" customWidth="1"/>
    <col min="13" max="13" width="19.81640625" customWidth="1"/>
    <col min="14" max="14" width="15.54296875" customWidth="1"/>
    <col min="15" max="15" width="15" bestFit="1" customWidth="1"/>
  </cols>
  <sheetData>
    <row r="1" spans="1:15" ht="29" thickTop="1" x14ac:dyDescent="0.5">
      <c r="A1" s="190"/>
      <c r="B1" s="527" t="s">
        <v>0</v>
      </c>
      <c r="C1" s="292">
        <f>SUM(C3:C90)</f>
        <v>508090506620</v>
      </c>
      <c r="D1" s="229"/>
      <c r="E1" s="229"/>
      <c r="F1" s="287"/>
      <c r="G1" s="287"/>
      <c r="H1" s="287"/>
      <c r="I1" s="287"/>
      <c r="J1" s="287"/>
      <c r="K1" s="190"/>
      <c r="L1" s="287"/>
      <c r="M1" s="287"/>
      <c r="N1" s="190"/>
      <c r="O1" s="287"/>
    </row>
    <row r="2" spans="1:15" ht="21" x14ac:dyDescent="0.35">
      <c r="A2" s="105" t="s">
        <v>1</v>
      </c>
      <c r="B2" s="248" t="s">
        <v>2</v>
      </c>
      <c r="C2" s="226" t="s">
        <v>3</v>
      </c>
      <c r="D2" s="226" t="s">
        <v>4</v>
      </c>
      <c r="E2" s="538"/>
      <c r="F2" s="105" t="s">
        <v>5</v>
      </c>
      <c r="G2" s="105" t="s">
        <v>6</v>
      </c>
      <c r="H2" s="105" t="s">
        <v>7</v>
      </c>
      <c r="I2" s="105" t="s">
        <v>8</v>
      </c>
      <c r="J2" s="105" t="s">
        <v>9</v>
      </c>
      <c r="K2" s="105" t="s">
        <v>10</v>
      </c>
      <c r="L2" s="105" t="s">
        <v>11</v>
      </c>
      <c r="M2" s="105" t="s">
        <v>12</v>
      </c>
      <c r="N2" s="105" t="s">
        <v>13</v>
      </c>
      <c r="O2" s="105" t="s">
        <v>14</v>
      </c>
    </row>
    <row r="3" spans="1:15" ht="84" x14ac:dyDescent="0.5">
      <c r="A3" s="60">
        <v>1</v>
      </c>
      <c r="B3" s="399" t="s">
        <v>15</v>
      </c>
      <c r="C3" s="528">
        <v>5287458300</v>
      </c>
      <c r="D3" s="526"/>
      <c r="E3" s="539"/>
      <c r="F3" s="526"/>
      <c r="G3" s="526"/>
      <c r="H3" s="526"/>
      <c r="I3" s="526"/>
      <c r="J3" s="526"/>
      <c r="K3" s="402" t="s">
        <v>16</v>
      </c>
      <c r="L3" s="526"/>
      <c r="M3" s="526"/>
      <c r="N3" s="526"/>
      <c r="O3" s="526"/>
    </row>
    <row r="4" spans="1:15" ht="63" x14ac:dyDescent="0.5">
      <c r="A4" s="60">
        <v>2</v>
      </c>
      <c r="B4" s="255" t="s">
        <v>17</v>
      </c>
      <c r="C4" s="378">
        <v>8547877000</v>
      </c>
      <c r="D4" s="526"/>
      <c r="E4" s="539"/>
      <c r="F4" s="526"/>
      <c r="G4" s="526"/>
      <c r="H4" s="526"/>
      <c r="I4" s="526"/>
      <c r="J4" s="526"/>
      <c r="K4" s="97"/>
      <c r="L4" s="526"/>
      <c r="M4" s="526"/>
      <c r="N4" s="526"/>
      <c r="O4" s="526"/>
    </row>
    <row r="5" spans="1:15" ht="42" x14ac:dyDescent="0.5">
      <c r="A5" s="60">
        <v>3</v>
      </c>
      <c r="B5" s="255" t="s">
        <v>18</v>
      </c>
      <c r="C5" s="378">
        <v>11000000000</v>
      </c>
      <c r="D5" s="526"/>
      <c r="E5" s="539"/>
      <c r="F5" s="526"/>
      <c r="G5" s="526"/>
      <c r="H5" s="526"/>
      <c r="I5" s="526"/>
      <c r="J5" s="526"/>
      <c r="K5" s="97" t="s">
        <v>19</v>
      </c>
      <c r="L5" s="526"/>
      <c r="M5" s="526"/>
      <c r="N5" s="526"/>
      <c r="O5" s="526"/>
    </row>
    <row r="6" spans="1:15" ht="42" x14ac:dyDescent="0.5">
      <c r="A6" s="60">
        <v>4</v>
      </c>
      <c r="B6" s="255" t="s">
        <v>20</v>
      </c>
      <c r="C6" s="378">
        <v>8600000000</v>
      </c>
      <c r="D6" s="526"/>
      <c r="E6" s="539"/>
      <c r="F6" s="526"/>
      <c r="G6" s="526"/>
      <c r="H6" s="526"/>
      <c r="I6" s="526"/>
      <c r="J6" s="526"/>
      <c r="K6" s="97" t="s">
        <v>21</v>
      </c>
      <c r="L6" s="526"/>
      <c r="M6" s="526"/>
      <c r="N6" s="526"/>
      <c r="O6" s="526"/>
    </row>
    <row r="7" spans="1:15" ht="42" x14ac:dyDescent="0.5">
      <c r="A7" s="60">
        <v>5</v>
      </c>
      <c r="B7" s="255" t="s">
        <v>22</v>
      </c>
      <c r="C7" s="378">
        <v>16000000000</v>
      </c>
      <c r="D7" s="526"/>
      <c r="E7" s="539"/>
      <c r="F7" s="526"/>
      <c r="G7" s="526"/>
      <c r="H7" s="526"/>
      <c r="I7" s="526"/>
      <c r="J7" s="526"/>
      <c r="K7" s="97" t="s">
        <v>23</v>
      </c>
      <c r="L7" s="526"/>
      <c r="M7" s="526"/>
      <c r="N7" s="526"/>
      <c r="O7" s="526"/>
    </row>
    <row r="8" spans="1:15" ht="42" x14ac:dyDescent="0.5">
      <c r="A8" s="60">
        <v>6</v>
      </c>
      <c r="B8" s="255" t="s">
        <v>24</v>
      </c>
      <c r="C8" s="378">
        <v>13200000000</v>
      </c>
      <c r="D8" s="526"/>
      <c r="E8" s="539"/>
      <c r="F8" s="526"/>
      <c r="G8" s="526"/>
      <c r="H8" s="526"/>
      <c r="I8" s="526"/>
      <c r="J8" s="526"/>
      <c r="K8" s="97" t="s">
        <v>25</v>
      </c>
      <c r="L8" s="526"/>
      <c r="M8" s="526"/>
      <c r="N8" s="526"/>
      <c r="O8" s="526"/>
    </row>
    <row r="9" spans="1:15" ht="42" x14ac:dyDescent="0.5">
      <c r="A9" s="60">
        <v>7</v>
      </c>
      <c r="B9" s="255" t="s">
        <v>26</v>
      </c>
      <c r="C9" s="378">
        <v>4500000000</v>
      </c>
      <c r="D9" s="526"/>
      <c r="E9" s="539"/>
      <c r="F9" s="526"/>
      <c r="G9" s="526"/>
      <c r="H9" s="526"/>
      <c r="I9" s="526"/>
      <c r="J9" s="526"/>
      <c r="K9" s="97" t="s">
        <v>25</v>
      </c>
      <c r="L9" s="526"/>
      <c r="M9" s="526"/>
      <c r="N9" s="526"/>
      <c r="O9" s="526"/>
    </row>
    <row r="10" spans="1:15" ht="42" x14ac:dyDescent="0.5">
      <c r="A10" s="60">
        <v>8</v>
      </c>
      <c r="B10" s="255" t="s">
        <v>27</v>
      </c>
      <c r="C10" s="378">
        <v>4700000000</v>
      </c>
      <c r="D10" s="526"/>
      <c r="E10" s="539"/>
      <c r="F10" s="526"/>
      <c r="G10" s="526"/>
      <c r="H10" s="526"/>
      <c r="I10" s="526"/>
      <c r="J10" s="526"/>
      <c r="K10" s="97" t="s">
        <v>28</v>
      </c>
      <c r="L10" s="526"/>
      <c r="M10" s="526"/>
      <c r="N10" s="526"/>
      <c r="O10" s="526"/>
    </row>
    <row r="11" spans="1:15" ht="42" x14ac:dyDescent="0.5">
      <c r="A11" s="60">
        <v>9</v>
      </c>
      <c r="B11" s="255" t="s">
        <v>29</v>
      </c>
      <c r="C11" s="378">
        <v>5700000000</v>
      </c>
      <c r="D11" s="526"/>
      <c r="E11" s="539"/>
      <c r="F11" s="526"/>
      <c r="G11" s="526"/>
      <c r="H11" s="526"/>
      <c r="I11" s="526"/>
      <c r="J11" s="526"/>
      <c r="K11" s="97" t="s">
        <v>30</v>
      </c>
      <c r="L11" s="526"/>
      <c r="M11" s="526"/>
      <c r="N11" s="526"/>
      <c r="O11" s="526"/>
    </row>
    <row r="12" spans="1:15" ht="63" x14ac:dyDescent="0.5">
      <c r="A12" s="60">
        <v>10</v>
      </c>
      <c r="B12" s="255" t="s">
        <v>31</v>
      </c>
      <c r="C12" s="378">
        <v>24000000000</v>
      </c>
      <c r="D12" s="526"/>
      <c r="E12" s="539"/>
      <c r="F12" s="526"/>
      <c r="G12" s="526"/>
      <c r="H12" s="526"/>
      <c r="I12" s="526"/>
      <c r="J12" s="526"/>
      <c r="K12" s="97" t="s">
        <v>30</v>
      </c>
      <c r="L12" s="526"/>
      <c r="M12" s="526"/>
      <c r="N12" s="526"/>
      <c r="O12" s="526"/>
    </row>
    <row r="13" spans="1:15" ht="42" x14ac:dyDescent="0.5">
      <c r="A13" s="60">
        <v>11</v>
      </c>
      <c r="B13" s="255" t="s">
        <v>32</v>
      </c>
      <c r="C13" s="378">
        <v>6300000000</v>
      </c>
      <c r="D13" s="526"/>
      <c r="E13" s="539"/>
      <c r="F13" s="526"/>
      <c r="G13" s="526"/>
      <c r="H13" s="526"/>
      <c r="I13" s="526"/>
      <c r="J13" s="526"/>
      <c r="K13" s="97" t="s">
        <v>30</v>
      </c>
      <c r="L13" s="526"/>
      <c r="M13" s="526"/>
      <c r="N13" s="526"/>
      <c r="O13" s="526"/>
    </row>
    <row r="14" spans="1:15" ht="21" x14ac:dyDescent="0.5">
      <c r="A14" s="60">
        <v>12</v>
      </c>
      <c r="B14" s="529" t="s">
        <v>33</v>
      </c>
      <c r="C14" s="378">
        <v>184000000</v>
      </c>
      <c r="D14" s="526"/>
      <c r="E14" s="539"/>
      <c r="F14" s="526"/>
      <c r="G14" s="526"/>
      <c r="H14" s="526"/>
      <c r="I14" s="526"/>
      <c r="J14" s="526"/>
      <c r="K14" s="97" t="s">
        <v>34</v>
      </c>
      <c r="L14" s="526"/>
      <c r="M14" s="526"/>
      <c r="N14" s="526"/>
      <c r="O14" s="526"/>
    </row>
    <row r="15" spans="1:15" ht="42" x14ac:dyDescent="0.5">
      <c r="A15" s="60">
        <v>13</v>
      </c>
      <c r="B15" s="352" t="s">
        <v>35</v>
      </c>
      <c r="C15" s="378">
        <v>866000000</v>
      </c>
      <c r="D15" s="526"/>
      <c r="E15" s="539"/>
      <c r="F15" s="526"/>
      <c r="G15" s="526"/>
      <c r="H15" s="526"/>
      <c r="I15" s="526"/>
      <c r="J15" s="526"/>
      <c r="K15" s="97" t="s">
        <v>36</v>
      </c>
      <c r="L15" s="526"/>
      <c r="M15" s="526"/>
      <c r="N15" s="526"/>
      <c r="O15" s="526"/>
    </row>
    <row r="16" spans="1:15" ht="42" x14ac:dyDescent="0.5">
      <c r="A16" s="60">
        <v>14</v>
      </c>
      <c r="B16" s="352" t="s">
        <v>37</v>
      </c>
      <c r="C16" s="378">
        <v>2800000000</v>
      </c>
      <c r="D16" s="526"/>
      <c r="E16" s="539"/>
      <c r="F16" s="526"/>
      <c r="G16" s="526"/>
      <c r="H16" s="526"/>
      <c r="I16" s="526"/>
      <c r="J16" s="526"/>
      <c r="K16" s="97" t="s">
        <v>38</v>
      </c>
      <c r="L16" s="526"/>
      <c r="M16" s="526"/>
      <c r="N16" s="526"/>
      <c r="O16" s="526"/>
    </row>
    <row r="17" spans="1:15" ht="21" x14ac:dyDescent="0.5">
      <c r="A17" s="60">
        <v>15</v>
      </c>
      <c r="B17" s="352" t="s">
        <v>39</v>
      </c>
      <c r="C17" s="378">
        <v>1200000000</v>
      </c>
      <c r="D17" s="526"/>
      <c r="E17" s="539"/>
      <c r="F17" s="526"/>
      <c r="G17" s="526"/>
      <c r="H17" s="526"/>
      <c r="I17" s="526"/>
      <c r="J17" s="526"/>
      <c r="K17" s="97" t="s">
        <v>38</v>
      </c>
      <c r="L17" s="526"/>
      <c r="M17" s="526"/>
      <c r="N17" s="526"/>
      <c r="O17" s="526"/>
    </row>
    <row r="18" spans="1:15" ht="42" x14ac:dyDescent="0.5">
      <c r="A18" s="60">
        <v>16</v>
      </c>
      <c r="B18" s="352" t="s">
        <v>40</v>
      </c>
      <c r="C18" s="378">
        <v>4200000000</v>
      </c>
      <c r="D18" s="526"/>
      <c r="E18" s="539"/>
      <c r="F18" s="526"/>
      <c r="G18" s="526"/>
      <c r="H18" s="526"/>
      <c r="I18" s="526"/>
      <c r="J18" s="526"/>
      <c r="K18" s="97" t="s">
        <v>41</v>
      </c>
      <c r="L18" s="526"/>
      <c r="M18" s="526"/>
      <c r="N18" s="526"/>
      <c r="O18" s="526"/>
    </row>
    <row r="19" spans="1:15" ht="84" x14ac:dyDescent="0.5">
      <c r="A19" s="60">
        <v>17</v>
      </c>
      <c r="B19" s="255" t="s">
        <v>42</v>
      </c>
      <c r="C19" s="378">
        <v>5000000000</v>
      </c>
      <c r="D19" s="526"/>
      <c r="E19" s="539"/>
      <c r="F19" s="526"/>
      <c r="G19" s="526"/>
      <c r="H19" s="526"/>
      <c r="I19" s="526"/>
      <c r="J19" s="526"/>
      <c r="K19" s="97" t="s">
        <v>30</v>
      </c>
      <c r="L19" s="526"/>
      <c r="M19" s="526"/>
      <c r="N19" s="526"/>
      <c r="O19" s="526"/>
    </row>
    <row r="20" spans="1:15" ht="63" x14ac:dyDescent="0.5">
      <c r="A20" s="60">
        <v>18</v>
      </c>
      <c r="B20" s="255" t="s">
        <v>43</v>
      </c>
      <c r="C20" s="378">
        <v>10000000000</v>
      </c>
      <c r="D20" s="526"/>
      <c r="E20" s="539"/>
      <c r="F20" s="526"/>
      <c r="G20" s="526"/>
      <c r="H20" s="526"/>
      <c r="I20" s="526"/>
      <c r="J20" s="526"/>
      <c r="K20" s="97" t="s">
        <v>30</v>
      </c>
      <c r="L20" s="526"/>
      <c r="M20" s="526"/>
      <c r="N20" s="526"/>
      <c r="O20" s="526"/>
    </row>
    <row r="21" spans="1:15" ht="63" x14ac:dyDescent="0.5">
      <c r="A21" s="60">
        <v>19</v>
      </c>
      <c r="B21" s="255" t="s">
        <v>44</v>
      </c>
      <c r="C21" s="378">
        <v>5900000000</v>
      </c>
      <c r="D21" s="526"/>
      <c r="E21" s="539"/>
      <c r="F21" s="526"/>
      <c r="G21" s="526"/>
      <c r="H21" s="526"/>
      <c r="I21" s="526"/>
      <c r="J21" s="526"/>
      <c r="K21" s="97" t="s">
        <v>30</v>
      </c>
      <c r="L21" s="526"/>
      <c r="M21" s="526"/>
      <c r="N21" s="526"/>
      <c r="O21" s="526"/>
    </row>
    <row r="22" spans="1:15" ht="42" x14ac:dyDescent="0.5">
      <c r="A22" s="60">
        <v>20</v>
      </c>
      <c r="B22" s="255" t="s">
        <v>45</v>
      </c>
      <c r="C22" s="378">
        <v>884000000</v>
      </c>
      <c r="D22" s="526"/>
      <c r="E22" s="539"/>
      <c r="F22" s="526"/>
      <c r="G22" s="526"/>
      <c r="H22" s="526"/>
      <c r="I22" s="526"/>
      <c r="J22" s="526"/>
      <c r="K22" s="97" t="s">
        <v>30</v>
      </c>
      <c r="L22" s="526"/>
      <c r="M22" s="526"/>
      <c r="N22" s="526"/>
      <c r="O22" s="526"/>
    </row>
    <row r="23" spans="1:15" ht="42" x14ac:dyDescent="0.5">
      <c r="A23" s="60">
        <v>21</v>
      </c>
      <c r="B23" s="255" t="s">
        <v>46</v>
      </c>
      <c r="C23" s="378">
        <v>2900000000</v>
      </c>
      <c r="D23" s="526"/>
      <c r="E23" s="539"/>
      <c r="F23" s="526"/>
      <c r="G23" s="526"/>
      <c r="H23" s="526"/>
      <c r="I23" s="526"/>
      <c r="J23" s="526"/>
      <c r="K23" s="97" t="s">
        <v>30</v>
      </c>
      <c r="L23" s="526"/>
      <c r="M23" s="526"/>
      <c r="N23" s="526"/>
      <c r="O23" s="526"/>
    </row>
    <row r="24" spans="1:15" ht="63" x14ac:dyDescent="0.5">
      <c r="A24" s="60">
        <v>22</v>
      </c>
      <c r="B24" s="255" t="s">
        <v>47</v>
      </c>
      <c r="C24" s="378">
        <v>9500000000</v>
      </c>
      <c r="D24" s="526"/>
      <c r="E24" s="539"/>
      <c r="F24" s="526"/>
      <c r="G24" s="526"/>
      <c r="H24" s="526"/>
      <c r="I24" s="526"/>
      <c r="J24" s="526"/>
      <c r="K24" s="97" t="s">
        <v>30</v>
      </c>
      <c r="L24" s="526"/>
      <c r="M24" s="526"/>
      <c r="N24" s="526"/>
      <c r="O24" s="526"/>
    </row>
    <row r="25" spans="1:15" ht="63" x14ac:dyDescent="0.5">
      <c r="A25" s="60">
        <v>23</v>
      </c>
      <c r="B25" s="255" t="s">
        <v>48</v>
      </c>
      <c r="C25" s="378">
        <v>6100000000</v>
      </c>
      <c r="D25" s="526"/>
      <c r="E25" s="539"/>
      <c r="F25" s="526"/>
      <c r="G25" s="526"/>
      <c r="H25" s="526"/>
      <c r="I25" s="526"/>
      <c r="J25" s="526"/>
      <c r="K25" s="97" t="s">
        <v>30</v>
      </c>
      <c r="L25" s="526"/>
      <c r="M25" s="526"/>
      <c r="N25" s="526"/>
      <c r="O25" s="526"/>
    </row>
    <row r="26" spans="1:15" ht="63" x14ac:dyDescent="0.5">
      <c r="A26" s="60">
        <v>24</v>
      </c>
      <c r="B26" s="255" t="s">
        <v>49</v>
      </c>
      <c r="C26" s="378">
        <v>19800000000</v>
      </c>
      <c r="D26" s="526"/>
      <c r="E26" s="539"/>
      <c r="F26" s="526"/>
      <c r="G26" s="526"/>
      <c r="H26" s="526"/>
      <c r="I26" s="526"/>
      <c r="J26" s="526"/>
      <c r="K26" s="97" t="s">
        <v>30</v>
      </c>
      <c r="L26" s="526"/>
      <c r="M26" s="526"/>
      <c r="N26" s="526"/>
      <c r="O26" s="526"/>
    </row>
    <row r="27" spans="1:15" ht="63" x14ac:dyDescent="0.5">
      <c r="A27" s="60">
        <v>25</v>
      </c>
      <c r="B27" s="255" t="s">
        <v>50</v>
      </c>
      <c r="C27" s="378">
        <v>9000000000</v>
      </c>
      <c r="D27" s="526"/>
      <c r="E27" s="539"/>
      <c r="F27" s="526"/>
      <c r="G27" s="526"/>
      <c r="H27" s="526"/>
      <c r="I27" s="526"/>
      <c r="J27" s="526"/>
      <c r="K27" s="97" t="s">
        <v>30</v>
      </c>
      <c r="L27" s="526"/>
      <c r="M27" s="526"/>
      <c r="N27" s="526"/>
      <c r="O27" s="526"/>
    </row>
    <row r="28" spans="1:15" ht="63" x14ac:dyDescent="0.5">
      <c r="A28" s="60">
        <v>26</v>
      </c>
      <c r="B28" s="255" t="s">
        <v>51</v>
      </c>
      <c r="C28" s="378">
        <v>10100000000</v>
      </c>
      <c r="D28" s="526"/>
      <c r="E28" s="539"/>
      <c r="F28" s="526"/>
      <c r="G28" s="526"/>
      <c r="H28" s="526"/>
      <c r="I28" s="526"/>
      <c r="J28" s="526"/>
      <c r="K28" s="97" t="s">
        <v>30</v>
      </c>
      <c r="L28" s="526"/>
      <c r="M28" s="526"/>
      <c r="N28" s="526"/>
      <c r="O28" s="526"/>
    </row>
    <row r="29" spans="1:15" ht="42" x14ac:dyDescent="0.5">
      <c r="A29" s="60">
        <v>27</v>
      </c>
      <c r="B29" s="352" t="s">
        <v>52</v>
      </c>
      <c r="C29" s="378">
        <v>9000000000</v>
      </c>
      <c r="D29" s="526"/>
      <c r="E29" s="539"/>
      <c r="F29" s="526"/>
      <c r="G29" s="526"/>
      <c r="H29" s="526"/>
      <c r="I29" s="526"/>
      <c r="J29" s="526"/>
      <c r="K29" s="97" t="s">
        <v>53</v>
      </c>
      <c r="L29" s="526"/>
      <c r="M29" s="526"/>
      <c r="N29" s="526"/>
      <c r="O29" s="526"/>
    </row>
    <row r="30" spans="1:15" ht="42" x14ac:dyDescent="0.5">
      <c r="A30" s="60">
        <v>28</v>
      </c>
      <c r="B30" s="352" t="s">
        <v>54</v>
      </c>
      <c r="C30" s="378">
        <v>1950000000</v>
      </c>
      <c r="D30" s="526"/>
      <c r="E30" s="539"/>
      <c r="F30" s="526"/>
      <c r="G30" s="526"/>
      <c r="H30" s="526"/>
      <c r="I30" s="526"/>
      <c r="J30" s="526"/>
      <c r="K30" s="97" t="s">
        <v>55</v>
      </c>
      <c r="L30" s="526"/>
      <c r="M30" s="526"/>
      <c r="N30" s="526"/>
      <c r="O30" s="526"/>
    </row>
    <row r="31" spans="1:15" ht="42" x14ac:dyDescent="0.5">
      <c r="A31" s="60">
        <v>29</v>
      </c>
      <c r="B31" s="352" t="s">
        <v>56</v>
      </c>
      <c r="C31" s="378">
        <v>6900000000</v>
      </c>
      <c r="D31" s="526"/>
      <c r="E31" s="539"/>
      <c r="F31" s="526"/>
      <c r="G31" s="526"/>
      <c r="H31" s="526"/>
      <c r="I31" s="526"/>
      <c r="J31" s="526"/>
      <c r="K31" s="97" t="s">
        <v>57</v>
      </c>
      <c r="L31" s="526"/>
      <c r="M31" s="526"/>
      <c r="N31" s="526"/>
      <c r="O31" s="526"/>
    </row>
    <row r="32" spans="1:15" ht="63" x14ac:dyDescent="0.5">
      <c r="A32" s="60">
        <v>30</v>
      </c>
      <c r="B32" s="352" t="s">
        <v>58</v>
      </c>
      <c r="C32" s="378">
        <v>1200000000</v>
      </c>
      <c r="D32" s="526"/>
      <c r="E32" s="539"/>
      <c r="F32" s="526"/>
      <c r="G32" s="526"/>
      <c r="H32" s="526"/>
      <c r="I32" s="526"/>
      <c r="J32" s="526"/>
      <c r="K32" s="97" t="s">
        <v>59</v>
      </c>
      <c r="L32" s="526"/>
      <c r="M32" s="526"/>
      <c r="N32" s="526"/>
      <c r="O32" s="526"/>
    </row>
    <row r="33" spans="1:15" ht="42" x14ac:dyDescent="0.5">
      <c r="A33" s="60">
        <v>31</v>
      </c>
      <c r="B33" s="352" t="s">
        <v>60</v>
      </c>
      <c r="C33" s="378">
        <v>4800000000</v>
      </c>
      <c r="D33" s="526"/>
      <c r="E33" s="539"/>
      <c r="F33" s="526"/>
      <c r="G33" s="526"/>
      <c r="H33" s="526"/>
      <c r="I33" s="526"/>
      <c r="J33" s="526"/>
      <c r="K33" s="97" t="s">
        <v>61</v>
      </c>
      <c r="L33" s="526"/>
      <c r="M33" s="526"/>
      <c r="N33" s="526"/>
      <c r="O33" s="526"/>
    </row>
    <row r="34" spans="1:15" ht="42" x14ac:dyDescent="0.5">
      <c r="A34" s="60">
        <v>32</v>
      </c>
      <c r="B34" s="352" t="s">
        <v>62</v>
      </c>
      <c r="C34" s="378">
        <v>897500000</v>
      </c>
      <c r="D34" s="526"/>
      <c r="E34" s="539"/>
      <c r="F34" s="526"/>
      <c r="G34" s="526"/>
      <c r="H34" s="526"/>
      <c r="I34" s="526"/>
      <c r="J34" s="526"/>
      <c r="K34" s="97" t="s">
        <v>63</v>
      </c>
      <c r="L34" s="526"/>
      <c r="M34" s="526"/>
      <c r="N34" s="526"/>
      <c r="O34" s="526"/>
    </row>
    <row r="35" spans="1:15" ht="42" x14ac:dyDescent="0.5">
      <c r="A35" s="60">
        <v>33</v>
      </c>
      <c r="B35" s="352" t="s">
        <v>64</v>
      </c>
      <c r="C35" s="378">
        <v>1265000000</v>
      </c>
      <c r="D35" s="526"/>
      <c r="E35" s="539"/>
      <c r="F35" s="526"/>
      <c r="G35" s="526"/>
      <c r="H35" s="526"/>
      <c r="I35" s="526"/>
      <c r="J35" s="526"/>
      <c r="K35" s="97" t="s">
        <v>63</v>
      </c>
      <c r="L35" s="526"/>
      <c r="M35" s="526"/>
      <c r="N35" s="526"/>
      <c r="O35" s="526"/>
    </row>
    <row r="36" spans="1:15" ht="42" x14ac:dyDescent="0.5">
      <c r="A36" s="60">
        <v>34</v>
      </c>
      <c r="B36" s="352" t="s">
        <v>65</v>
      </c>
      <c r="C36" s="378">
        <v>547000000</v>
      </c>
      <c r="D36" s="526"/>
      <c r="E36" s="539"/>
      <c r="F36" s="526"/>
      <c r="G36" s="526"/>
      <c r="H36" s="526"/>
      <c r="I36" s="526"/>
      <c r="J36" s="526"/>
      <c r="K36" s="97" t="s">
        <v>63</v>
      </c>
      <c r="L36" s="526"/>
      <c r="M36" s="526"/>
      <c r="N36" s="526"/>
      <c r="O36" s="526"/>
    </row>
    <row r="37" spans="1:15" ht="42" x14ac:dyDescent="0.5">
      <c r="A37" s="60">
        <v>35</v>
      </c>
      <c r="B37" s="352" t="s">
        <v>66</v>
      </c>
      <c r="C37" s="378">
        <v>900000000</v>
      </c>
      <c r="D37" s="526"/>
      <c r="E37" s="539"/>
      <c r="F37" s="526"/>
      <c r="G37" s="526"/>
      <c r="H37" s="526"/>
      <c r="I37" s="526"/>
      <c r="J37" s="526"/>
      <c r="K37" s="97" t="s">
        <v>63</v>
      </c>
      <c r="L37" s="526"/>
      <c r="M37" s="526"/>
      <c r="N37" s="526"/>
      <c r="O37" s="526"/>
    </row>
    <row r="38" spans="1:15" ht="21" x14ac:dyDescent="0.5">
      <c r="A38" s="60">
        <v>36</v>
      </c>
      <c r="B38" s="352" t="s">
        <v>67</v>
      </c>
      <c r="C38" s="378">
        <v>2800000000</v>
      </c>
      <c r="D38" s="526"/>
      <c r="E38" s="539"/>
      <c r="F38" s="526"/>
      <c r="G38" s="526"/>
      <c r="H38" s="526"/>
      <c r="I38" s="526"/>
      <c r="J38" s="526"/>
      <c r="K38" s="97" t="s">
        <v>63</v>
      </c>
      <c r="L38" s="526"/>
      <c r="M38" s="526"/>
      <c r="N38" s="526"/>
      <c r="O38" s="526"/>
    </row>
    <row r="39" spans="1:15" ht="42" x14ac:dyDescent="0.5">
      <c r="A39" s="60">
        <v>37</v>
      </c>
      <c r="B39" s="529" t="s">
        <v>68</v>
      </c>
      <c r="C39" s="378">
        <v>280000000</v>
      </c>
      <c r="D39" s="526"/>
      <c r="E39" s="539"/>
      <c r="F39" s="526"/>
      <c r="G39" s="526"/>
      <c r="H39" s="526"/>
      <c r="I39" s="526"/>
      <c r="J39" s="526"/>
      <c r="K39" s="97" t="s">
        <v>34</v>
      </c>
      <c r="L39" s="526"/>
      <c r="M39" s="526"/>
      <c r="N39" s="526"/>
      <c r="O39" s="526"/>
    </row>
    <row r="40" spans="1:15" ht="42" x14ac:dyDescent="0.5">
      <c r="A40" s="60">
        <v>38</v>
      </c>
      <c r="B40" s="352" t="s">
        <v>69</v>
      </c>
      <c r="C40" s="378">
        <v>7000000000</v>
      </c>
      <c r="D40" s="526"/>
      <c r="E40" s="539"/>
      <c r="F40" s="526"/>
      <c r="G40" s="526"/>
      <c r="H40" s="526"/>
      <c r="I40" s="526"/>
      <c r="J40" s="526"/>
      <c r="K40" s="97" t="s">
        <v>70</v>
      </c>
      <c r="L40" s="526"/>
      <c r="M40" s="526"/>
      <c r="N40" s="526"/>
      <c r="O40" s="526"/>
    </row>
    <row r="41" spans="1:15" ht="42" x14ac:dyDescent="0.5">
      <c r="A41" s="60">
        <v>39</v>
      </c>
      <c r="B41" s="352" t="s">
        <v>71</v>
      </c>
      <c r="C41" s="378">
        <v>1000000000</v>
      </c>
      <c r="D41" s="526"/>
      <c r="E41" s="539"/>
      <c r="F41" s="526"/>
      <c r="G41" s="526"/>
      <c r="H41" s="526"/>
      <c r="I41" s="526"/>
      <c r="J41" s="526"/>
      <c r="K41" s="97" t="s">
        <v>72</v>
      </c>
      <c r="L41" s="526"/>
      <c r="M41" s="526"/>
      <c r="N41" s="526"/>
      <c r="O41" s="526"/>
    </row>
    <row r="42" spans="1:15" ht="42" x14ac:dyDescent="0.5">
      <c r="A42" s="60">
        <v>40</v>
      </c>
      <c r="B42" s="352" t="s">
        <v>73</v>
      </c>
      <c r="C42" s="378">
        <v>3300000000</v>
      </c>
      <c r="D42" s="526"/>
      <c r="E42" s="539"/>
      <c r="F42" s="526"/>
      <c r="G42" s="526"/>
      <c r="H42" s="526"/>
      <c r="I42" s="526"/>
      <c r="J42" s="526"/>
      <c r="K42" s="97" t="s">
        <v>72</v>
      </c>
      <c r="L42" s="526"/>
      <c r="M42" s="526"/>
      <c r="N42" s="526"/>
      <c r="O42" s="526"/>
    </row>
    <row r="43" spans="1:15" ht="63" x14ac:dyDescent="0.5">
      <c r="A43" s="60">
        <v>41</v>
      </c>
      <c r="B43" s="352" t="s">
        <v>74</v>
      </c>
      <c r="C43" s="378">
        <v>2500000000</v>
      </c>
      <c r="D43" s="526"/>
      <c r="E43" s="539"/>
      <c r="F43" s="526"/>
      <c r="G43" s="526"/>
      <c r="H43" s="526"/>
      <c r="I43" s="526"/>
      <c r="J43" s="526"/>
      <c r="K43" s="97" t="s">
        <v>63</v>
      </c>
      <c r="L43" s="526"/>
      <c r="M43" s="526"/>
      <c r="N43" s="526"/>
      <c r="O43" s="526"/>
    </row>
    <row r="44" spans="1:15" ht="21" x14ac:dyDescent="0.5">
      <c r="A44" s="60">
        <v>42</v>
      </c>
      <c r="B44" s="529" t="s">
        <v>75</v>
      </c>
      <c r="C44" s="378">
        <v>560000000</v>
      </c>
      <c r="D44" s="526"/>
      <c r="E44" s="539"/>
      <c r="F44" s="526"/>
      <c r="G44" s="526"/>
      <c r="H44" s="526"/>
      <c r="I44" s="526"/>
      <c r="J44" s="526"/>
      <c r="K44" s="97" t="s">
        <v>34</v>
      </c>
      <c r="L44" s="526"/>
      <c r="M44" s="526"/>
      <c r="N44" s="526"/>
      <c r="O44" s="526"/>
    </row>
    <row r="45" spans="1:15" ht="21" x14ac:dyDescent="0.5">
      <c r="A45" s="60">
        <v>43</v>
      </c>
      <c r="B45" s="352" t="s">
        <v>76</v>
      </c>
      <c r="C45" s="378">
        <v>5000000000</v>
      </c>
      <c r="D45" s="526"/>
      <c r="E45" s="539"/>
      <c r="F45" s="526"/>
      <c r="G45" s="526"/>
      <c r="H45" s="526"/>
      <c r="I45" s="526"/>
      <c r="J45" s="526"/>
      <c r="K45" s="97" t="s">
        <v>77</v>
      </c>
      <c r="L45" s="526"/>
      <c r="M45" s="526"/>
      <c r="N45" s="526"/>
      <c r="O45" s="526"/>
    </row>
    <row r="46" spans="1:15" ht="133" customHeight="1" x14ac:dyDescent="0.5">
      <c r="A46" s="60">
        <v>44</v>
      </c>
      <c r="B46" s="255" t="s">
        <v>78</v>
      </c>
      <c r="C46" s="378">
        <v>3376418010</v>
      </c>
      <c r="D46" s="341"/>
      <c r="E46" s="373"/>
      <c r="F46" s="61" t="s">
        <v>79</v>
      </c>
      <c r="G46" s="341"/>
      <c r="H46" s="294"/>
      <c r="I46" s="294"/>
      <c r="J46" s="294"/>
      <c r="K46" s="97"/>
      <c r="L46" s="294"/>
      <c r="M46" s="294"/>
      <c r="N46" s="97"/>
      <c r="O46" s="294"/>
    </row>
    <row r="47" spans="1:15" ht="189" x14ac:dyDescent="0.35">
      <c r="A47" s="60">
        <v>45</v>
      </c>
      <c r="B47" s="255" t="s">
        <v>80</v>
      </c>
      <c r="C47" s="375">
        <v>4500000000</v>
      </c>
      <c r="D47" s="217"/>
      <c r="E47" s="217"/>
      <c r="F47" s="61" t="s">
        <v>81</v>
      </c>
      <c r="G47" s="526"/>
      <c r="H47" s="526"/>
      <c r="I47" s="526"/>
      <c r="J47" s="526"/>
      <c r="K47" s="526"/>
      <c r="L47" s="526"/>
      <c r="M47" s="526"/>
      <c r="N47" s="526"/>
      <c r="O47" s="526"/>
    </row>
    <row r="48" spans="1:15" ht="21" x14ac:dyDescent="0.5">
      <c r="C48" s="540">
        <f>SUM(C3:C47)</f>
        <v>254045253310</v>
      </c>
    </row>
  </sheetData>
  <pageMargins left="0.7" right="0.7" top="0.75" bottom="0.75" header="0.3" footer="0.3"/>
  <pageSetup paperSize="9" fitToWidth="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713D5-6307-449A-BB55-73CDEB17992C}">
  <sheetPr>
    <pageSetUpPr fitToPage="1"/>
  </sheetPr>
  <dimension ref="A1:P69"/>
  <sheetViews>
    <sheetView tabSelected="1" zoomScale="63" zoomScaleNormal="80" workbookViewId="0">
      <pane xSplit="6" ySplit="2" topLeftCell="G3" activePane="bottomRight" state="frozen"/>
      <selection pane="topRight" activeCell="F1" sqref="F1"/>
      <selection pane="bottomLeft" activeCell="A3" sqref="A3"/>
      <selection pane="bottomRight" activeCell="C67" sqref="C67"/>
    </sheetView>
  </sheetViews>
  <sheetFormatPr defaultColWidth="8.81640625" defaultRowHeight="21" x14ac:dyDescent="0.5"/>
  <cols>
    <col min="1" max="1" width="8.54296875" style="190" customWidth="1"/>
    <col min="2" max="2" width="39.1796875" style="253" customWidth="1"/>
    <col min="3" max="3" width="25.1796875" style="287" customWidth="1"/>
    <col min="4" max="4" width="29.1796875" style="287" customWidth="1"/>
    <col min="5" max="5" width="25.81640625" style="287" customWidth="1"/>
    <col min="6" max="6" width="21.81640625" style="289" customWidth="1"/>
    <col min="7" max="7" width="42.54296875" style="287" bestFit="1" customWidth="1"/>
    <col min="8" max="8" width="16.1796875" style="289" customWidth="1"/>
    <col min="9" max="9" width="59.81640625" style="289" customWidth="1"/>
    <col min="10" max="10" width="31.81640625" style="289" customWidth="1"/>
    <col min="11" max="11" width="92.1796875" style="244" customWidth="1"/>
    <col min="12" max="12" width="27.453125" style="289" customWidth="1"/>
    <col min="13" max="13" width="45.54296875" style="289" customWidth="1"/>
    <col min="14" max="14" width="14.54296875" style="244" customWidth="1"/>
    <col min="15" max="15" width="80.54296875" style="289" bestFit="1" customWidth="1"/>
    <col min="16" max="16384" width="8.81640625" style="287"/>
  </cols>
  <sheetData>
    <row r="1" spans="1:16" ht="29" thickTop="1" x14ac:dyDescent="0.5">
      <c r="B1" s="293" t="s">
        <v>82</v>
      </c>
      <c r="C1" s="292">
        <f>SUM(C3:C86)</f>
        <v>106686480886</v>
      </c>
      <c r="D1" s="229"/>
      <c r="E1" s="229"/>
    </row>
    <row r="2" spans="1:16" ht="72" customHeight="1" x14ac:dyDescent="0.5">
      <c r="A2" s="105" t="s">
        <v>1</v>
      </c>
      <c r="B2" s="284" t="s">
        <v>2</v>
      </c>
      <c r="C2" s="303" t="s">
        <v>3</v>
      </c>
      <c r="D2" s="226" t="s">
        <v>4</v>
      </c>
      <c r="E2" s="226"/>
      <c r="F2" s="106" t="s">
        <v>5</v>
      </c>
      <c r="G2" s="106" t="s">
        <v>6</v>
      </c>
      <c r="H2" s="106" t="s">
        <v>7</v>
      </c>
      <c r="I2" s="105" t="s">
        <v>8</v>
      </c>
      <c r="J2" s="106" t="s">
        <v>9</v>
      </c>
      <c r="K2" s="105" t="s">
        <v>10</v>
      </c>
      <c r="L2" s="106" t="s">
        <v>11</v>
      </c>
      <c r="M2" s="106" t="s">
        <v>12</v>
      </c>
      <c r="N2" s="106" t="s">
        <v>13</v>
      </c>
      <c r="O2" s="106" t="s">
        <v>14</v>
      </c>
      <c r="P2" s="290"/>
    </row>
    <row r="3" spans="1:16" s="367" customFormat="1" ht="102.75" customHeight="1" x14ac:dyDescent="0.5">
      <c r="A3" s="363">
        <v>1</v>
      </c>
      <c r="B3" s="364" t="s">
        <v>83</v>
      </c>
      <c r="C3" s="365">
        <v>975424000</v>
      </c>
      <c r="F3" s="368" t="s">
        <v>84</v>
      </c>
      <c r="H3" s="368"/>
      <c r="I3" s="368"/>
      <c r="J3" s="368"/>
      <c r="K3" s="369" t="s">
        <v>2250</v>
      </c>
      <c r="L3" s="368"/>
      <c r="M3" s="368"/>
      <c r="N3" s="369"/>
      <c r="O3" s="368"/>
      <c r="P3" s="374"/>
    </row>
    <row r="4" spans="1:16" s="341" customFormat="1" ht="84" x14ac:dyDescent="0.5">
      <c r="A4" s="60">
        <v>2</v>
      </c>
      <c r="B4" s="255" t="s">
        <v>85</v>
      </c>
      <c r="C4" s="359">
        <f>479141500+361307000</f>
        <v>840448500</v>
      </c>
      <c r="F4" s="294" t="s">
        <v>86</v>
      </c>
      <c r="H4" s="294"/>
      <c r="I4" s="294"/>
      <c r="J4" s="294"/>
      <c r="K4" s="97" t="s">
        <v>2270</v>
      </c>
      <c r="L4" s="294"/>
      <c r="M4" s="294"/>
      <c r="N4" s="97"/>
      <c r="O4" s="294"/>
      <c r="P4" s="373"/>
    </row>
    <row r="5" spans="1:16" ht="84" x14ac:dyDescent="0.5">
      <c r="A5" s="532">
        <v>3</v>
      </c>
      <c r="B5" s="255" t="s">
        <v>87</v>
      </c>
      <c r="C5" s="533">
        <f>D5</f>
        <v>14966403554</v>
      </c>
      <c r="D5" s="471">
        <f>5682983898+9283419656</f>
        <v>14966403554</v>
      </c>
      <c r="E5" s="294" t="s">
        <v>88</v>
      </c>
      <c r="F5" s="509" t="s">
        <v>89</v>
      </c>
      <c r="G5" s="341"/>
      <c r="H5" s="294"/>
      <c r="I5" s="294" t="s">
        <v>90</v>
      </c>
      <c r="J5" s="294"/>
      <c r="K5" s="97" t="s">
        <v>2271</v>
      </c>
      <c r="L5" s="294"/>
      <c r="M5" s="294"/>
      <c r="N5" s="244" t="s">
        <v>91</v>
      </c>
      <c r="O5" s="294"/>
    </row>
    <row r="6" spans="1:16" ht="105" x14ac:dyDescent="0.5">
      <c r="A6" s="532">
        <v>4</v>
      </c>
      <c r="B6" s="255" t="s">
        <v>92</v>
      </c>
      <c r="C6" s="534">
        <f>8830659545+9025675355</f>
        <v>17856334900</v>
      </c>
      <c r="D6" s="472">
        <v>6933786700</v>
      </c>
      <c r="E6" s="294" t="s">
        <v>93</v>
      </c>
      <c r="F6" s="508" t="s">
        <v>94</v>
      </c>
      <c r="G6" s="341"/>
      <c r="H6" s="294"/>
      <c r="I6" s="294" t="s">
        <v>95</v>
      </c>
      <c r="J6" s="294"/>
      <c r="K6" s="97" t="s">
        <v>2272</v>
      </c>
      <c r="L6" s="294"/>
      <c r="M6" s="294"/>
      <c r="N6" s="244" t="s">
        <v>96</v>
      </c>
      <c r="O6" s="294"/>
    </row>
    <row r="7" spans="1:16" ht="105" x14ac:dyDescent="0.5">
      <c r="A7" s="532">
        <v>5</v>
      </c>
      <c r="B7" s="346" t="s">
        <v>97</v>
      </c>
      <c r="C7" s="535">
        <f>8365887990+8550639810</f>
        <v>16916527800</v>
      </c>
      <c r="D7" s="523"/>
      <c r="E7" s="350" t="s">
        <v>98</v>
      </c>
      <c r="F7" s="524" t="s">
        <v>99</v>
      </c>
      <c r="G7" s="349"/>
      <c r="H7" s="350"/>
      <c r="I7" s="350"/>
      <c r="J7" s="350"/>
      <c r="K7" s="348" t="s">
        <v>2272</v>
      </c>
      <c r="L7" s="350"/>
      <c r="M7" s="350"/>
      <c r="N7" s="244" t="s">
        <v>96</v>
      </c>
      <c r="O7" s="350"/>
    </row>
    <row r="8" spans="1:16" s="367" customFormat="1" ht="233.65" customHeight="1" x14ac:dyDescent="0.5">
      <c r="A8" s="60">
        <v>6</v>
      </c>
      <c r="B8" s="364" t="s">
        <v>100</v>
      </c>
      <c r="C8" s="409"/>
      <c r="D8" s="409">
        <v>9600000000</v>
      </c>
      <c r="E8" s="410" t="s">
        <v>101</v>
      </c>
      <c r="F8" s="410" t="s">
        <v>102</v>
      </c>
      <c r="H8" s="368"/>
      <c r="I8" s="368"/>
      <c r="J8" s="368" t="s">
        <v>103</v>
      </c>
      <c r="K8" s="369" t="s">
        <v>2230</v>
      </c>
      <c r="L8" s="368"/>
      <c r="M8" s="368"/>
      <c r="N8" s="369"/>
      <c r="O8" s="368"/>
    </row>
    <row r="9" spans="1:16" s="341" customFormat="1" ht="147" x14ac:dyDescent="0.5">
      <c r="A9" s="60">
        <v>7</v>
      </c>
      <c r="B9" s="255" t="s">
        <v>107</v>
      </c>
      <c r="C9" s="378">
        <v>4247984850</v>
      </c>
      <c r="D9" s="294" t="s">
        <v>108</v>
      </c>
      <c r="F9" s="294" t="s">
        <v>109</v>
      </c>
      <c r="H9" s="294"/>
      <c r="I9" s="294"/>
      <c r="J9" s="294"/>
      <c r="K9" s="97" t="s">
        <v>2273</v>
      </c>
      <c r="L9" s="294"/>
      <c r="M9" s="294"/>
      <c r="N9" s="97"/>
      <c r="O9" s="294"/>
    </row>
    <row r="10" spans="1:16" s="341" customFormat="1" ht="84" x14ac:dyDescent="0.5">
      <c r="A10" s="60">
        <v>8</v>
      </c>
      <c r="B10" s="255" t="s">
        <v>110</v>
      </c>
      <c r="C10" s="378">
        <v>372000000</v>
      </c>
      <c r="F10" s="294" t="s">
        <v>111</v>
      </c>
      <c r="H10" s="294"/>
      <c r="I10" s="294"/>
      <c r="J10" s="294"/>
      <c r="K10" s="97" t="s">
        <v>2232</v>
      </c>
      <c r="L10" s="294"/>
      <c r="M10" s="294"/>
      <c r="N10" s="97"/>
      <c r="O10" s="294"/>
    </row>
    <row r="11" spans="1:16" s="400" customFormat="1" ht="105" x14ac:dyDescent="0.5">
      <c r="A11" s="60">
        <v>9</v>
      </c>
      <c r="B11" s="399" t="s">
        <v>15</v>
      </c>
      <c r="C11" s="444"/>
      <c r="D11" s="444">
        <v>5287458300</v>
      </c>
      <c r="E11" s="401" t="s">
        <v>112</v>
      </c>
      <c r="F11" s="401" t="s">
        <v>113</v>
      </c>
      <c r="H11" s="401"/>
      <c r="I11" s="401"/>
      <c r="J11" s="401"/>
      <c r="K11" s="402" t="s">
        <v>16</v>
      </c>
      <c r="L11" s="401"/>
      <c r="M11" s="401"/>
      <c r="N11" s="402"/>
      <c r="O11" s="401"/>
    </row>
    <row r="12" spans="1:16" s="341" customFormat="1" ht="63" x14ac:dyDescent="0.5">
      <c r="A12" s="60">
        <v>10</v>
      </c>
      <c r="B12" s="255" t="s">
        <v>114</v>
      </c>
      <c r="C12" s="378">
        <v>303313050</v>
      </c>
      <c r="F12" s="294" t="s">
        <v>115</v>
      </c>
      <c r="H12" s="294"/>
      <c r="I12" s="294"/>
      <c r="J12" s="294"/>
      <c r="K12" s="97" t="s">
        <v>2281</v>
      </c>
      <c r="L12" s="294"/>
      <c r="M12" s="294"/>
      <c r="N12" s="97"/>
      <c r="O12" s="294"/>
    </row>
    <row r="13" spans="1:16" s="341" customFormat="1" ht="63" x14ac:dyDescent="0.5">
      <c r="A13" s="60"/>
      <c r="B13" s="255" t="s">
        <v>116</v>
      </c>
      <c r="C13" s="378">
        <v>35766810</v>
      </c>
      <c r="F13" s="294" t="s">
        <v>111</v>
      </c>
      <c r="H13" s="294"/>
      <c r="I13" s="294"/>
      <c r="J13" s="294"/>
      <c r="K13" s="97" t="s">
        <v>2231</v>
      </c>
      <c r="L13" s="294"/>
      <c r="M13" s="294"/>
      <c r="N13" s="97"/>
      <c r="O13" s="294"/>
    </row>
    <row r="14" spans="1:16" s="341" customFormat="1" ht="84" x14ac:dyDescent="0.5">
      <c r="A14" s="60">
        <v>12</v>
      </c>
      <c r="B14" s="255" t="s">
        <v>117</v>
      </c>
      <c r="C14" s="362">
        <v>227069038</v>
      </c>
      <c r="F14" s="294" t="s">
        <v>118</v>
      </c>
      <c r="H14" s="294"/>
      <c r="I14" s="294"/>
      <c r="J14" s="294"/>
      <c r="K14" s="97" t="s">
        <v>2282</v>
      </c>
      <c r="L14" s="294"/>
      <c r="M14" s="294"/>
      <c r="N14" s="97"/>
      <c r="O14" s="294"/>
    </row>
    <row r="15" spans="1:16" s="341" customFormat="1" ht="126" x14ac:dyDescent="0.5">
      <c r="A15" s="60">
        <v>14</v>
      </c>
      <c r="B15" s="255" t="s">
        <v>120</v>
      </c>
      <c r="C15" s="362">
        <v>20211800</v>
      </c>
      <c r="F15" s="61" t="s">
        <v>121</v>
      </c>
      <c r="H15" s="294"/>
      <c r="I15" s="294"/>
      <c r="J15" s="294"/>
      <c r="K15" s="97" t="s">
        <v>2274</v>
      </c>
      <c r="L15" s="294"/>
      <c r="M15" s="294"/>
      <c r="N15" s="97"/>
      <c r="O15" s="294"/>
    </row>
    <row r="16" spans="1:16" s="341" customFormat="1" ht="105" x14ac:dyDescent="0.5">
      <c r="A16" s="56">
        <v>15</v>
      </c>
      <c r="B16" s="255" t="s">
        <v>122</v>
      </c>
      <c r="C16" s="378">
        <v>147385728</v>
      </c>
      <c r="F16" s="294" t="s">
        <v>123</v>
      </c>
      <c r="H16" s="294"/>
      <c r="I16" s="294"/>
      <c r="J16" s="294"/>
      <c r="K16" s="97" t="s">
        <v>2252</v>
      </c>
      <c r="L16" s="294"/>
      <c r="M16" s="294"/>
      <c r="N16" s="97"/>
      <c r="O16" s="294"/>
      <c r="P16" s="373"/>
    </row>
    <row r="17" spans="1:16" s="341" customFormat="1" ht="84" x14ac:dyDescent="0.5">
      <c r="A17" s="60">
        <v>16</v>
      </c>
      <c r="B17" s="255" t="s">
        <v>124</v>
      </c>
      <c r="C17" s="378">
        <v>969108200</v>
      </c>
      <c r="F17" s="294" t="s">
        <v>125</v>
      </c>
      <c r="H17" s="294"/>
      <c r="I17" s="294"/>
      <c r="J17" s="294"/>
      <c r="K17" s="97" t="s">
        <v>2283</v>
      </c>
      <c r="L17" s="294"/>
      <c r="M17" s="294"/>
      <c r="N17" s="97"/>
      <c r="O17" s="294"/>
      <c r="P17" s="373"/>
    </row>
    <row r="18" spans="1:16" ht="84" x14ac:dyDescent="0.5">
      <c r="A18" s="60">
        <v>17</v>
      </c>
      <c r="B18" s="255" t="s">
        <v>126</v>
      </c>
      <c r="C18" s="378">
        <v>833387400</v>
      </c>
      <c r="D18" s="341"/>
      <c r="E18" s="341"/>
      <c r="F18" s="294" t="s">
        <v>127</v>
      </c>
      <c r="G18" s="341"/>
      <c r="H18" s="294"/>
      <c r="I18" s="294"/>
      <c r="J18" s="516"/>
      <c r="K18" s="97" t="s">
        <v>128</v>
      </c>
      <c r="L18" s="294"/>
      <c r="M18" s="294"/>
      <c r="N18" s="97"/>
      <c r="O18" s="294"/>
    </row>
    <row r="19" spans="1:16" ht="84" x14ac:dyDescent="0.5">
      <c r="A19" s="60">
        <v>18</v>
      </c>
      <c r="B19" s="255" t="s">
        <v>129</v>
      </c>
      <c r="C19" s="362">
        <v>2337683607</v>
      </c>
      <c r="D19" s="362"/>
      <c r="E19" s="341"/>
      <c r="F19" s="294" t="s">
        <v>130</v>
      </c>
      <c r="G19" s="341"/>
      <c r="H19" s="294"/>
      <c r="I19" s="294"/>
      <c r="J19" s="294"/>
      <c r="K19" s="97" t="s">
        <v>2275</v>
      </c>
      <c r="L19" s="294"/>
      <c r="M19" s="294"/>
      <c r="N19" s="97"/>
      <c r="O19" s="294"/>
    </row>
    <row r="20" spans="1:16" ht="105" x14ac:dyDescent="0.5">
      <c r="A20" s="60">
        <v>19</v>
      </c>
      <c r="B20" s="255" t="s">
        <v>131</v>
      </c>
      <c r="C20" s="378">
        <v>99450000</v>
      </c>
      <c r="D20" s="341"/>
      <c r="E20" s="341"/>
      <c r="F20" s="294" t="s">
        <v>132</v>
      </c>
      <c r="G20" s="341"/>
      <c r="H20" s="294"/>
      <c r="I20" s="294"/>
      <c r="J20" s="294"/>
      <c r="K20" s="97" t="s">
        <v>2276</v>
      </c>
      <c r="L20" s="294"/>
      <c r="M20" s="294"/>
      <c r="N20" s="97"/>
      <c r="O20" s="294"/>
    </row>
    <row r="21" spans="1:16" ht="105" x14ac:dyDescent="0.5">
      <c r="A21" s="60">
        <v>20</v>
      </c>
      <c r="B21" s="255" t="s">
        <v>133</v>
      </c>
      <c r="C21" s="415">
        <v>793576000</v>
      </c>
      <c r="D21" s="362">
        <v>38124351880</v>
      </c>
      <c r="E21" s="341"/>
      <c r="F21" s="294" t="s">
        <v>134</v>
      </c>
      <c r="G21" s="341"/>
      <c r="H21" s="294"/>
      <c r="I21" s="294"/>
      <c r="J21" s="294"/>
      <c r="K21" s="97" t="s">
        <v>2284</v>
      </c>
      <c r="L21" s="294"/>
      <c r="M21" s="294"/>
      <c r="N21" s="97"/>
      <c r="O21" s="294"/>
    </row>
    <row r="22" spans="1:16" ht="84" x14ac:dyDescent="0.5">
      <c r="A22" s="60">
        <v>21</v>
      </c>
      <c r="B22" s="255" t="s">
        <v>135</v>
      </c>
      <c r="C22" s="362">
        <v>218213900</v>
      </c>
      <c r="D22" s="362">
        <v>30496332477</v>
      </c>
      <c r="E22" s="341"/>
      <c r="F22" s="294" t="s">
        <v>136</v>
      </c>
      <c r="G22" s="341"/>
      <c r="H22" s="294"/>
      <c r="I22" s="294"/>
      <c r="J22" s="294"/>
      <c r="K22" s="97" t="s">
        <v>2225</v>
      </c>
      <c r="L22" s="294"/>
      <c r="M22" s="294"/>
      <c r="N22" s="97"/>
      <c r="O22" s="294"/>
    </row>
    <row r="23" spans="1:16" ht="126" x14ac:dyDescent="0.5">
      <c r="A23" s="60">
        <v>22</v>
      </c>
      <c r="B23" s="255" t="s">
        <v>137</v>
      </c>
      <c r="C23" s="362">
        <f>D23*3%</f>
        <v>20985150</v>
      </c>
      <c r="D23" s="378">
        <v>699505000</v>
      </c>
      <c r="E23" s="341"/>
      <c r="F23" s="294" t="s">
        <v>138</v>
      </c>
      <c r="G23" s="341"/>
      <c r="H23" s="294"/>
      <c r="I23" s="294"/>
      <c r="J23" s="294"/>
      <c r="K23" s="97" t="s">
        <v>139</v>
      </c>
      <c r="L23" s="294"/>
      <c r="M23" s="294"/>
      <c r="N23" s="97"/>
      <c r="O23" s="294"/>
    </row>
    <row r="24" spans="1:16" ht="84" x14ac:dyDescent="0.5">
      <c r="A24" s="60">
        <v>23</v>
      </c>
      <c r="B24" s="255" t="s">
        <v>140</v>
      </c>
      <c r="C24" s="362">
        <f>D24*3%</f>
        <v>55869420</v>
      </c>
      <c r="D24" s="362">
        <v>1862314000</v>
      </c>
      <c r="E24" s="341"/>
      <c r="F24" s="294" t="s">
        <v>138</v>
      </c>
      <c r="G24" s="341"/>
      <c r="H24" s="294"/>
      <c r="I24" s="294"/>
      <c r="J24" s="294"/>
      <c r="K24" s="97" t="s">
        <v>141</v>
      </c>
      <c r="L24" s="294"/>
      <c r="M24" s="294"/>
      <c r="N24" s="97"/>
      <c r="O24" s="294"/>
    </row>
    <row r="25" spans="1:16" ht="105" x14ac:dyDescent="0.5">
      <c r="A25" s="532">
        <v>24</v>
      </c>
      <c r="B25" s="255" t="s">
        <v>142</v>
      </c>
      <c r="C25" s="495">
        <f>6460927340+6178468898</f>
        <v>12639396238</v>
      </c>
      <c r="D25" s="341"/>
      <c r="E25" s="294" t="s">
        <v>143</v>
      </c>
      <c r="F25" s="294" t="s">
        <v>144</v>
      </c>
      <c r="G25" s="341"/>
      <c r="H25" s="294"/>
      <c r="I25" s="294"/>
      <c r="J25" s="294"/>
      <c r="K25" s="97" t="s">
        <v>2277</v>
      </c>
      <c r="L25" s="294"/>
      <c r="M25" s="294"/>
      <c r="N25" s="97" t="s">
        <v>91</v>
      </c>
      <c r="O25" s="294"/>
    </row>
    <row r="26" spans="1:16" ht="42" x14ac:dyDescent="0.5">
      <c r="A26" s="60">
        <v>25</v>
      </c>
      <c r="B26" s="255" t="s">
        <v>145</v>
      </c>
      <c r="C26" s="378">
        <v>39366000</v>
      </c>
      <c r="D26" s="341"/>
      <c r="E26" s="341"/>
      <c r="F26" s="294" t="s">
        <v>138</v>
      </c>
      <c r="G26" s="341"/>
      <c r="H26" s="294"/>
      <c r="I26" s="294"/>
      <c r="J26" s="294"/>
      <c r="K26" s="97" t="s">
        <v>146</v>
      </c>
      <c r="L26" s="294"/>
      <c r="M26" s="294"/>
      <c r="N26" s="97"/>
      <c r="O26" s="294"/>
    </row>
    <row r="27" spans="1:16" ht="84" x14ac:dyDescent="0.5">
      <c r="A27" s="60">
        <v>26</v>
      </c>
      <c r="B27" s="255" t="s">
        <v>147</v>
      </c>
      <c r="C27" s="378">
        <v>251499948</v>
      </c>
      <c r="D27" s="341"/>
      <c r="E27" s="341"/>
      <c r="F27" s="294" t="s">
        <v>148</v>
      </c>
      <c r="G27" s="341"/>
      <c r="H27" s="294"/>
      <c r="I27" s="294"/>
      <c r="J27" s="294"/>
      <c r="K27" s="97" t="s">
        <v>149</v>
      </c>
      <c r="L27" s="294"/>
      <c r="M27" s="294"/>
      <c r="N27" s="97"/>
      <c r="O27" s="294"/>
    </row>
    <row r="28" spans="1:16" ht="84" x14ac:dyDescent="0.5">
      <c r="A28" s="56">
        <v>27</v>
      </c>
      <c r="B28" s="346" t="s">
        <v>150</v>
      </c>
      <c r="C28" s="473">
        <v>26190000</v>
      </c>
      <c r="D28" s="349"/>
      <c r="E28" s="349"/>
      <c r="F28" s="350" t="s">
        <v>151</v>
      </c>
      <c r="G28" s="349"/>
      <c r="H28" s="350"/>
      <c r="I28" s="350"/>
      <c r="J28" s="350"/>
      <c r="K28" s="97" t="s">
        <v>2233</v>
      </c>
      <c r="L28" s="350"/>
      <c r="M28" s="350"/>
      <c r="N28" s="348"/>
      <c r="O28" s="350"/>
    </row>
    <row r="29" spans="1:16" s="341" customFormat="1" ht="42" x14ac:dyDescent="0.5">
      <c r="A29" s="56">
        <v>28</v>
      </c>
      <c r="B29" s="255" t="s">
        <v>152</v>
      </c>
      <c r="C29" s="378">
        <v>41973000</v>
      </c>
      <c r="F29" s="294" t="s">
        <v>151</v>
      </c>
      <c r="H29" s="294"/>
      <c r="I29" s="294"/>
      <c r="J29" s="294"/>
      <c r="K29" s="97" t="s">
        <v>2234</v>
      </c>
      <c r="L29" s="294"/>
      <c r="M29" s="294"/>
      <c r="N29" s="97"/>
      <c r="O29" s="294"/>
    </row>
    <row r="30" spans="1:16" ht="63" x14ac:dyDescent="0.5">
      <c r="A30" s="60">
        <v>29</v>
      </c>
      <c r="B30" s="255" t="s">
        <v>153</v>
      </c>
      <c r="C30" s="378">
        <v>14956600</v>
      </c>
      <c r="D30" s="341"/>
      <c r="E30" s="341"/>
      <c r="F30" s="294" t="s">
        <v>154</v>
      </c>
      <c r="G30" s="341"/>
      <c r="H30" s="294"/>
      <c r="I30" s="294"/>
      <c r="J30" s="294"/>
      <c r="K30" s="97" t="s">
        <v>2253</v>
      </c>
      <c r="L30" s="294"/>
      <c r="M30" s="294"/>
      <c r="N30" s="97"/>
      <c r="O30" s="294"/>
    </row>
    <row r="31" spans="1:16" ht="63" x14ac:dyDescent="0.5">
      <c r="A31" s="60">
        <v>30</v>
      </c>
      <c r="B31" s="255" t="s">
        <v>155</v>
      </c>
      <c r="C31" s="378">
        <v>345816000</v>
      </c>
      <c r="D31" s="341"/>
      <c r="E31" s="341"/>
      <c r="F31" s="294" t="s">
        <v>156</v>
      </c>
      <c r="G31" s="341"/>
      <c r="H31" s="294"/>
      <c r="I31" s="294"/>
      <c r="J31" s="294"/>
      <c r="K31" s="97" t="s">
        <v>2235</v>
      </c>
      <c r="L31" s="294"/>
      <c r="M31" s="294"/>
      <c r="N31" s="97"/>
      <c r="O31" s="294"/>
    </row>
    <row r="32" spans="1:16" ht="84" x14ac:dyDescent="0.5">
      <c r="A32" s="60">
        <v>32</v>
      </c>
      <c r="B32" s="255" t="s">
        <v>159</v>
      </c>
      <c r="C32" s="362">
        <f>885100+55584000</f>
        <v>56469100</v>
      </c>
      <c r="D32" s="341" t="s">
        <v>160</v>
      </c>
      <c r="E32" s="341"/>
      <c r="F32" s="294" t="s">
        <v>161</v>
      </c>
      <c r="G32" s="341"/>
      <c r="H32" s="294"/>
      <c r="I32" s="294"/>
      <c r="J32" s="294"/>
      <c r="K32" s="97" t="s">
        <v>162</v>
      </c>
      <c r="L32" s="294"/>
      <c r="M32" s="294"/>
      <c r="N32" s="97"/>
      <c r="O32" s="294"/>
    </row>
    <row r="33" spans="1:15" ht="147" x14ac:dyDescent="0.5">
      <c r="A33" s="60">
        <v>33</v>
      </c>
      <c r="B33" s="255" t="s">
        <v>163</v>
      </c>
      <c r="C33" s="378">
        <v>55545000</v>
      </c>
      <c r="D33" s="341"/>
      <c r="E33" s="341"/>
      <c r="F33" s="294" t="s">
        <v>164</v>
      </c>
      <c r="G33" s="341"/>
      <c r="H33" s="294"/>
      <c r="I33" s="294"/>
      <c r="J33" s="294"/>
      <c r="K33" s="97" t="s">
        <v>165</v>
      </c>
      <c r="L33" s="294"/>
      <c r="M33" s="294"/>
      <c r="N33" s="97"/>
      <c r="O33" s="294"/>
    </row>
    <row r="34" spans="1:15" ht="84" x14ac:dyDescent="0.5">
      <c r="A34" s="60">
        <v>34</v>
      </c>
      <c r="B34" s="255" t="s">
        <v>166</v>
      </c>
      <c r="C34" s="378">
        <v>21495000</v>
      </c>
      <c r="D34" s="341"/>
      <c r="E34" s="341"/>
      <c r="F34" s="294" t="s">
        <v>167</v>
      </c>
      <c r="G34" s="341"/>
      <c r="H34" s="294"/>
      <c r="I34" s="294"/>
      <c r="J34" s="294"/>
      <c r="K34" s="97" t="s">
        <v>2254</v>
      </c>
      <c r="L34" s="294"/>
      <c r="M34" s="294"/>
      <c r="N34" s="97"/>
      <c r="O34" s="294"/>
    </row>
    <row r="35" spans="1:15" ht="42" x14ac:dyDescent="0.5">
      <c r="A35" s="60">
        <v>35</v>
      </c>
      <c r="B35" s="255" t="s">
        <v>168</v>
      </c>
      <c r="C35" s="362">
        <v>1990941480</v>
      </c>
      <c r="D35" s="341"/>
      <c r="E35" s="341"/>
      <c r="F35" s="294" t="s">
        <v>169</v>
      </c>
      <c r="G35" s="341"/>
      <c r="H35" s="294"/>
      <c r="I35" s="294"/>
      <c r="J35" s="294"/>
      <c r="K35" s="97" t="s">
        <v>170</v>
      </c>
      <c r="L35" s="294"/>
      <c r="M35" s="294"/>
      <c r="N35" s="97"/>
      <c r="O35" s="294"/>
    </row>
    <row r="36" spans="1:15" ht="42" x14ac:dyDescent="0.5">
      <c r="A36" s="60">
        <v>36</v>
      </c>
      <c r="B36" s="255" t="s">
        <v>171</v>
      </c>
      <c r="C36" s="378">
        <v>1234440000</v>
      </c>
      <c r="D36" s="294" t="s">
        <v>172</v>
      </c>
      <c r="E36" s="341"/>
      <c r="F36" s="294" t="s">
        <v>169</v>
      </c>
      <c r="G36" s="341"/>
      <c r="H36" s="294"/>
      <c r="I36" s="294"/>
      <c r="J36" s="294"/>
      <c r="K36" s="97" t="s">
        <v>173</v>
      </c>
      <c r="L36" s="294"/>
      <c r="M36" s="294"/>
      <c r="N36" s="97"/>
      <c r="O36" s="294"/>
    </row>
    <row r="37" spans="1:15" ht="63" x14ac:dyDescent="0.5">
      <c r="A37" s="60">
        <v>37</v>
      </c>
      <c r="B37" s="255" t="s">
        <v>174</v>
      </c>
      <c r="C37" s="362">
        <v>639294000</v>
      </c>
      <c r="D37" s="341"/>
      <c r="E37" s="341"/>
      <c r="F37" s="294" t="s">
        <v>175</v>
      </c>
      <c r="G37" s="341"/>
      <c r="H37" s="294"/>
      <c r="I37" s="294"/>
      <c r="J37" s="294"/>
      <c r="K37" s="97" t="s">
        <v>2255</v>
      </c>
      <c r="L37" s="294"/>
      <c r="M37" s="294"/>
      <c r="N37" s="97"/>
      <c r="O37" s="294"/>
    </row>
    <row r="38" spans="1:15" ht="42" x14ac:dyDescent="0.5">
      <c r="A38" s="532">
        <v>38</v>
      </c>
      <c r="B38" s="255" t="s">
        <v>176</v>
      </c>
      <c r="C38" s="525">
        <v>50401508</v>
      </c>
      <c r="D38" s="341"/>
      <c r="E38" s="341"/>
      <c r="F38" s="294" t="s">
        <v>177</v>
      </c>
      <c r="G38" s="341"/>
      <c r="H38" s="294"/>
      <c r="I38" s="294"/>
      <c r="J38" s="294"/>
      <c r="K38" s="97" t="s">
        <v>2236</v>
      </c>
      <c r="L38" s="294"/>
      <c r="M38" s="294"/>
      <c r="N38" s="97"/>
      <c r="O38" s="294"/>
    </row>
    <row r="39" spans="1:15" ht="63" x14ac:dyDescent="0.5">
      <c r="A39" s="60">
        <v>39</v>
      </c>
      <c r="B39" s="255" t="s">
        <v>178</v>
      </c>
      <c r="C39" s="362">
        <v>1910248200</v>
      </c>
      <c r="D39" s="341"/>
      <c r="E39" s="341"/>
      <c r="F39" s="294" t="s">
        <v>179</v>
      </c>
      <c r="G39" s="341"/>
      <c r="H39" s="294"/>
      <c r="I39" s="294"/>
      <c r="J39" s="294"/>
      <c r="K39" s="97" t="s">
        <v>180</v>
      </c>
      <c r="L39" s="294"/>
      <c r="M39" s="294"/>
      <c r="N39" s="97"/>
      <c r="O39" s="294"/>
    </row>
    <row r="40" spans="1:15" ht="84" x14ac:dyDescent="0.5">
      <c r="A40" s="60">
        <v>41</v>
      </c>
      <c r="B40" s="346" t="s">
        <v>181</v>
      </c>
      <c r="C40" s="473">
        <v>340573700</v>
      </c>
      <c r="D40" s="349"/>
      <c r="E40" s="349"/>
      <c r="F40" s="350" t="s">
        <v>182</v>
      </c>
      <c r="G40" s="349"/>
      <c r="H40" s="350"/>
      <c r="I40" s="350"/>
      <c r="J40" s="350"/>
      <c r="K40" s="348" t="s">
        <v>2278</v>
      </c>
      <c r="L40" s="350"/>
      <c r="M40" s="350"/>
      <c r="N40" s="348"/>
      <c r="O40" s="350"/>
    </row>
    <row r="41" spans="1:15" s="341" customFormat="1" ht="84" x14ac:dyDescent="0.5">
      <c r="A41" s="60">
        <v>42</v>
      </c>
      <c r="B41" s="255" t="s">
        <v>183</v>
      </c>
      <c r="C41" s="525">
        <f>1545477120</f>
        <v>1545477120</v>
      </c>
      <c r="F41" s="294" t="s">
        <v>184</v>
      </c>
      <c r="H41" s="294"/>
      <c r="I41" s="294" t="s">
        <v>185</v>
      </c>
      <c r="J41" s="294"/>
      <c r="K41" s="97" t="s">
        <v>2237</v>
      </c>
      <c r="L41" s="294"/>
      <c r="M41" s="294"/>
      <c r="N41" s="97"/>
      <c r="O41" s="294"/>
    </row>
    <row r="42" spans="1:15" ht="84" x14ac:dyDescent="0.5">
      <c r="A42" s="60">
        <v>43</v>
      </c>
      <c r="B42" s="255" t="s">
        <v>186</v>
      </c>
      <c r="C42" s="378">
        <v>81313000</v>
      </c>
      <c r="D42" s="341"/>
      <c r="E42" s="341"/>
      <c r="F42" s="294" t="s">
        <v>187</v>
      </c>
      <c r="G42" s="341"/>
      <c r="H42" s="294"/>
      <c r="I42" s="294"/>
      <c r="J42" s="294"/>
      <c r="K42" s="97" t="s">
        <v>2285</v>
      </c>
      <c r="L42" s="294"/>
      <c r="M42" s="294"/>
      <c r="N42" s="97"/>
      <c r="O42" s="294"/>
    </row>
    <row r="43" spans="1:15" ht="42" x14ac:dyDescent="0.5">
      <c r="A43" s="60">
        <v>44</v>
      </c>
      <c r="B43" s="255" t="s">
        <v>188</v>
      </c>
      <c r="C43" s="378">
        <v>401442000</v>
      </c>
      <c r="D43" s="341"/>
      <c r="E43" s="341"/>
      <c r="F43" s="294" t="s">
        <v>189</v>
      </c>
      <c r="G43" s="341"/>
      <c r="H43" s="294"/>
      <c r="I43" s="294"/>
      <c r="J43" s="294"/>
      <c r="K43" s="97" t="s">
        <v>2256</v>
      </c>
      <c r="L43" s="294"/>
      <c r="M43" s="294"/>
      <c r="N43" s="97"/>
      <c r="O43" s="294"/>
    </row>
    <row r="44" spans="1:15" ht="63" x14ac:dyDescent="0.5">
      <c r="A44" s="532">
        <v>46</v>
      </c>
      <c r="B44" s="255" t="s">
        <v>190</v>
      </c>
      <c r="C44" s="378">
        <v>49541744</v>
      </c>
      <c r="D44" s="341"/>
      <c r="E44" s="341"/>
      <c r="F44" s="294" t="s">
        <v>111</v>
      </c>
      <c r="G44" s="341"/>
      <c r="H44" s="294"/>
      <c r="I44" s="294"/>
      <c r="J44" s="294"/>
      <c r="K44" s="97" t="s">
        <v>2238</v>
      </c>
      <c r="L44" s="294"/>
      <c r="M44" s="294"/>
      <c r="N44" s="97"/>
      <c r="O44" s="294"/>
    </row>
    <row r="45" spans="1:15" ht="42" x14ac:dyDescent="0.5">
      <c r="A45" s="532">
        <v>48</v>
      </c>
      <c r="B45" s="255" t="s">
        <v>191</v>
      </c>
      <c r="C45" s="378">
        <v>1770781200</v>
      </c>
      <c r="D45" s="341"/>
      <c r="E45" s="341"/>
      <c r="F45" s="294" t="s">
        <v>111</v>
      </c>
      <c r="G45" s="341"/>
      <c r="H45" s="294"/>
      <c r="I45" s="294"/>
      <c r="J45" s="294"/>
      <c r="K45" s="97" t="s">
        <v>2239</v>
      </c>
      <c r="L45" s="294"/>
      <c r="M45" s="294"/>
      <c r="N45" s="97"/>
      <c r="O45" s="294"/>
    </row>
    <row r="46" spans="1:15" ht="84" x14ac:dyDescent="0.5">
      <c r="A46" s="60">
        <v>49</v>
      </c>
      <c r="B46" s="255" t="s">
        <v>192</v>
      </c>
      <c r="C46" s="378">
        <v>4717500</v>
      </c>
      <c r="D46" s="341"/>
      <c r="E46" s="341"/>
      <c r="F46" s="294" t="s">
        <v>148</v>
      </c>
      <c r="G46" s="341"/>
      <c r="H46" s="294"/>
      <c r="I46" s="294"/>
      <c r="J46" s="294"/>
      <c r="K46" s="97" t="s">
        <v>193</v>
      </c>
      <c r="L46" s="294"/>
      <c r="M46" s="294"/>
      <c r="N46" s="97"/>
      <c r="O46" s="294"/>
    </row>
    <row r="47" spans="1:15" ht="63" x14ac:dyDescent="0.5">
      <c r="A47" s="60">
        <v>51</v>
      </c>
      <c r="B47" s="255" t="s">
        <v>196</v>
      </c>
      <c r="C47" s="378">
        <v>189441300</v>
      </c>
      <c r="D47" s="341"/>
      <c r="E47" s="341"/>
      <c r="F47" s="294" t="s">
        <v>197</v>
      </c>
      <c r="G47" s="341"/>
      <c r="H47" s="294"/>
      <c r="I47" s="294"/>
      <c r="J47" s="294"/>
      <c r="K47" s="97" t="s">
        <v>2257</v>
      </c>
      <c r="L47" s="294"/>
      <c r="M47" s="294"/>
      <c r="N47" s="97"/>
      <c r="O47" s="294"/>
    </row>
    <row r="48" spans="1:15" ht="42" x14ac:dyDescent="0.5">
      <c r="A48" s="60">
        <v>52</v>
      </c>
      <c r="B48" s="255" t="s">
        <v>198</v>
      </c>
      <c r="C48" s="378">
        <v>11949000</v>
      </c>
      <c r="D48" s="341"/>
      <c r="E48" s="341"/>
      <c r="F48" s="294" t="s">
        <v>199</v>
      </c>
      <c r="G48" s="341"/>
      <c r="H48" s="294"/>
      <c r="I48" s="294"/>
      <c r="J48" s="294"/>
      <c r="K48" s="97" t="s">
        <v>200</v>
      </c>
      <c r="L48" s="294"/>
      <c r="M48" s="294"/>
      <c r="N48" s="97"/>
      <c r="O48" s="294"/>
    </row>
    <row r="49" spans="1:15" ht="63" x14ac:dyDescent="0.5">
      <c r="A49" s="60">
        <v>53</v>
      </c>
      <c r="B49" s="255" t="s">
        <v>201</v>
      </c>
      <c r="C49" s="378">
        <v>11949000</v>
      </c>
      <c r="D49" s="341"/>
      <c r="E49" s="341"/>
      <c r="F49" s="294" t="s">
        <v>199</v>
      </c>
      <c r="G49" s="341"/>
      <c r="H49" s="294"/>
      <c r="I49" s="294"/>
      <c r="J49" s="294"/>
      <c r="K49" s="97" t="s">
        <v>202</v>
      </c>
      <c r="L49" s="294"/>
      <c r="M49" s="294"/>
      <c r="N49" s="97"/>
      <c r="O49" s="294"/>
    </row>
    <row r="50" spans="1:15" ht="63" x14ac:dyDescent="0.5">
      <c r="A50" s="532">
        <v>56</v>
      </c>
      <c r="B50" s="255" t="s">
        <v>203</v>
      </c>
      <c r="C50" s="378">
        <v>15716400</v>
      </c>
      <c r="D50" s="341"/>
      <c r="E50" s="341"/>
      <c r="F50" s="294" t="s">
        <v>130</v>
      </c>
      <c r="G50" s="341"/>
      <c r="H50" s="294"/>
      <c r="I50" s="294"/>
      <c r="J50" s="294"/>
      <c r="K50" s="97" t="s">
        <v>2240</v>
      </c>
      <c r="L50" s="294"/>
      <c r="M50" s="294"/>
      <c r="N50" s="97"/>
      <c r="O50" s="294"/>
    </row>
    <row r="51" spans="1:15" ht="42" x14ac:dyDescent="0.5">
      <c r="A51" s="60">
        <v>58</v>
      </c>
      <c r="B51" s="255" t="s">
        <v>206</v>
      </c>
      <c r="C51" s="378">
        <v>2872500</v>
      </c>
      <c r="D51" s="341"/>
      <c r="E51" s="341"/>
      <c r="F51" s="294" t="s">
        <v>207</v>
      </c>
      <c r="G51" s="341"/>
      <c r="H51" s="294"/>
      <c r="I51" s="294"/>
      <c r="J51" s="294"/>
      <c r="K51" s="97" t="s">
        <v>208</v>
      </c>
      <c r="L51" s="294"/>
      <c r="M51" s="294"/>
      <c r="N51" s="97"/>
      <c r="O51" s="294"/>
    </row>
    <row r="52" spans="1:15" ht="147" x14ac:dyDescent="0.5">
      <c r="A52" s="532">
        <v>59</v>
      </c>
      <c r="B52" s="255" t="s">
        <v>209</v>
      </c>
      <c r="C52" s="536">
        <v>4609605000</v>
      </c>
      <c r="D52" s="341"/>
      <c r="E52" s="341"/>
      <c r="F52" s="294" t="s">
        <v>210</v>
      </c>
      <c r="G52" s="341"/>
      <c r="H52" s="294"/>
      <c r="I52" s="294"/>
      <c r="J52" s="294"/>
      <c r="K52" s="97" t="s">
        <v>2286</v>
      </c>
      <c r="L52" s="294"/>
      <c r="M52" s="294"/>
      <c r="N52" s="97" t="s">
        <v>91</v>
      </c>
      <c r="O52" s="294"/>
    </row>
    <row r="53" spans="1:15" ht="105" x14ac:dyDescent="0.5">
      <c r="A53" s="532">
        <v>60</v>
      </c>
      <c r="B53" s="255" t="s">
        <v>211</v>
      </c>
      <c r="C53" s="525">
        <v>177295200</v>
      </c>
      <c r="D53" s="341"/>
      <c r="E53" s="341"/>
      <c r="F53" s="294" t="s">
        <v>130</v>
      </c>
      <c r="G53" s="341"/>
      <c r="H53" s="294"/>
      <c r="I53" s="294"/>
      <c r="J53" s="294"/>
      <c r="K53" s="97" t="s">
        <v>2259</v>
      </c>
      <c r="L53" s="294"/>
      <c r="M53" s="294"/>
      <c r="N53" s="97"/>
      <c r="O53" s="294"/>
    </row>
    <row r="54" spans="1:15" ht="63" x14ac:dyDescent="0.5">
      <c r="A54" s="532">
        <v>63</v>
      </c>
      <c r="B54" s="255" t="s">
        <v>214</v>
      </c>
      <c r="C54" s="525">
        <v>118418700</v>
      </c>
      <c r="D54" s="341"/>
      <c r="E54" s="341"/>
      <c r="F54" s="294" t="s">
        <v>130</v>
      </c>
      <c r="G54" s="341"/>
      <c r="H54" s="294"/>
      <c r="I54" s="294"/>
      <c r="J54" s="294"/>
      <c r="K54" s="97" t="s">
        <v>215</v>
      </c>
      <c r="L54" s="294"/>
      <c r="M54" s="294"/>
      <c r="N54" s="97"/>
      <c r="O54" s="294"/>
    </row>
    <row r="55" spans="1:15" ht="84" x14ac:dyDescent="0.5">
      <c r="A55" s="532">
        <v>64</v>
      </c>
      <c r="B55" s="255" t="s">
        <v>216</v>
      </c>
      <c r="C55" s="493">
        <v>1801435400</v>
      </c>
      <c r="D55" s="341"/>
      <c r="E55" s="341"/>
      <c r="F55" s="294" t="s">
        <v>217</v>
      </c>
      <c r="G55" s="341"/>
      <c r="H55" s="294"/>
      <c r="I55" s="294"/>
      <c r="J55" s="294"/>
      <c r="K55" s="97" t="s">
        <v>2241</v>
      </c>
      <c r="L55" s="294"/>
      <c r="M55" s="294"/>
      <c r="N55" s="97" t="s">
        <v>91</v>
      </c>
      <c r="O55" s="294"/>
    </row>
    <row r="56" spans="1:15" ht="105" x14ac:dyDescent="0.5">
      <c r="A56" s="532">
        <v>65</v>
      </c>
      <c r="B56" s="255" t="s">
        <v>218</v>
      </c>
      <c r="C56" s="525">
        <v>816583600</v>
      </c>
      <c r="D56" s="341"/>
      <c r="E56" s="341"/>
      <c r="F56" s="294" t="s">
        <v>219</v>
      </c>
      <c r="G56" s="341"/>
      <c r="H56" s="294"/>
      <c r="I56" s="294"/>
      <c r="J56" s="294"/>
      <c r="K56" s="97" t="s">
        <v>2260</v>
      </c>
      <c r="L56" s="294"/>
      <c r="M56" s="294"/>
      <c r="N56" s="97"/>
      <c r="O56" s="294"/>
    </row>
    <row r="57" spans="1:15" ht="63" x14ac:dyDescent="0.5">
      <c r="A57" s="532">
        <v>66</v>
      </c>
      <c r="B57" s="255" t="s">
        <v>220</v>
      </c>
      <c r="C57" s="493">
        <v>181904800</v>
      </c>
      <c r="D57" s="341"/>
      <c r="E57" s="341"/>
      <c r="F57" s="294" t="s">
        <v>221</v>
      </c>
      <c r="G57" s="341"/>
      <c r="H57" s="294"/>
      <c r="I57" s="294"/>
      <c r="J57" s="294"/>
      <c r="K57" s="97" t="s">
        <v>2261</v>
      </c>
      <c r="L57" s="294"/>
      <c r="M57" s="294"/>
      <c r="N57" s="97" t="s">
        <v>96</v>
      </c>
      <c r="O57" s="294"/>
    </row>
    <row r="58" spans="1:15" ht="63" x14ac:dyDescent="0.5">
      <c r="A58" s="532">
        <v>67</v>
      </c>
      <c r="B58" s="255" t="s">
        <v>222</v>
      </c>
      <c r="C58" s="493">
        <v>158393100</v>
      </c>
      <c r="D58" s="341"/>
      <c r="E58" s="341"/>
      <c r="F58" s="294" t="s">
        <v>221</v>
      </c>
      <c r="G58" s="341"/>
      <c r="H58" s="294"/>
      <c r="I58" s="294"/>
      <c r="J58" s="294"/>
      <c r="K58" s="97" t="s">
        <v>2261</v>
      </c>
      <c r="L58" s="294"/>
      <c r="M58" s="294"/>
      <c r="N58" s="97" t="s">
        <v>96</v>
      </c>
      <c r="O58" s="294"/>
    </row>
    <row r="59" spans="1:15" ht="70.5" x14ac:dyDescent="0.5">
      <c r="A59" s="532">
        <v>68</v>
      </c>
      <c r="B59" s="530" t="s">
        <v>223</v>
      </c>
      <c r="C59" s="525">
        <v>119861600</v>
      </c>
      <c r="D59" s="341"/>
      <c r="E59" s="341"/>
      <c r="F59" s="294" t="s">
        <v>224</v>
      </c>
      <c r="G59" s="341"/>
      <c r="H59" s="294"/>
      <c r="I59" s="294"/>
      <c r="J59" s="294"/>
      <c r="K59" s="97" t="s">
        <v>2229</v>
      </c>
      <c r="L59" s="294"/>
      <c r="M59" s="294"/>
      <c r="N59" s="97"/>
      <c r="O59" s="294"/>
    </row>
    <row r="60" spans="1:15" ht="70.5" x14ac:dyDescent="0.55000000000000004">
      <c r="A60" s="567">
        <v>69</v>
      </c>
      <c r="B60" s="568" t="s">
        <v>225</v>
      </c>
      <c r="C60" s="571">
        <v>467420200</v>
      </c>
      <c r="D60" s="349"/>
      <c r="E60" s="349"/>
      <c r="F60" s="350" t="s">
        <v>224</v>
      </c>
      <c r="G60" s="349"/>
      <c r="H60" s="350"/>
      <c r="I60" s="350"/>
      <c r="J60" s="350"/>
      <c r="K60" s="348" t="s">
        <v>2229</v>
      </c>
      <c r="L60" s="350"/>
      <c r="M60" s="350"/>
      <c r="N60" s="348"/>
      <c r="O60" s="350"/>
    </row>
    <row r="61" spans="1:15" s="341" customFormat="1" ht="117.5" x14ac:dyDescent="0.55000000000000004">
      <c r="A61" s="532">
        <v>70</v>
      </c>
      <c r="B61" s="531" t="s">
        <v>2226</v>
      </c>
      <c r="C61" s="525">
        <f>6707806677+2482335600</f>
        <v>9190142277</v>
      </c>
      <c r="F61" s="294" t="s">
        <v>219</v>
      </c>
      <c r="H61" s="294"/>
      <c r="I61" s="294"/>
      <c r="J61" s="294"/>
      <c r="K61" s="97" t="s">
        <v>2242</v>
      </c>
      <c r="L61" s="294"/>
      <c r="M61" s="294"/>
      <c r="N61" s="97"/>
      <c r="O61" s="294"/>
    </row>
    <row r="62" spans="1:15" s="341" customFormat="1" ht="117.5" x14ac:dyDescent="0.55000000000000004">
      <c r="A62" s="532">
        <v>72</v>
      </c>
      <c r="B62" s="569" t="s">
        <v>2288</v>
      </c>
      <c r="C62" s="525">
        <v>194092600</v>
      </c>
      <c r="F62" s="294" t="s">
        <v>2228</v>
      </c>
      <c r="H62" s="294"/>
      <c r="I62" s="294"/>
      <c r="J62" s="294"/>
      <c r="K62" s="97" t="s">
        <v>2264</v>
      </c>
      <c r="L62" s="294"/>
      <c r="M62" s="294"/>
      <c r="N62" s="97"/>
      <c r="O62" s="294"/>
    </row>
    <row r="63" spans="1:15" s="341" customFormat="1" ht="63" x14ac:dyDescent="0.5">
      <c r="A63" s="60">
        <v>73</v>
      </c>
      <c r="B63" s="255" t="s">
        <v>1495</v>
      </c>
      <c r="C63" s="378">
        <v>109200000</v>
      </c>
      <c r="F63" s="294" t="s">
        <v>271</v>
      </c>
      <c r="H63" s="294"/>
      <c r="I63" s="294"/>
      <c r="J63" s="294"/>
      <c r="K63" s="97" t="s">
        <v>2243</v>
      </c>
      <c r="L63" s="294"/>
      <c r="M63" s="294"/>
      <c r="N63" s="97"/>
      <c r="O63" s="294"/>
    </row>
    <row r="64" spans="1:15" s="341" customFormat="1" x14ac:dyDescent="0.5">
      <c r="A64" s="60">
        <v>75</v>
      </c>
      <c r="B64" s="255" t="s">
        <v>2246</v>
      </c>
      <c r="C64" s="378">
        <v>95634000</v>
      </c>
      <c r="F64" s="294" t="s">
        <v>2245</v>
      </c>
      <c r="H64" s="294"/>
      <c r="I64" s="294"/>
      <c r="J64" s="294"/>
      <c r="K64" s="97" t="s">
        <v>2247</v>
      </c>
      <c r="L64" s="294"/>
      <c r="M64" s="294"/>
      <c r="N64" s="97"/>
      <c r="O64" s="294"/>
    </row>
    <row r="65" spans="1:15" s="341" customFormat="1" ht="63" x14ac:dyDescent="0.5">
      <c r="A65" s="60">
        <v>77</v>
      </c>
      <c r="B65" s="255" t="s">
        <v>2248</v>
      </c>
      <c r="C65" s="378">
        <v>141845700</v>
      </c>
      <c r="F65" s="294" t="s">
        <v>2249</v>
      </c>
      <c r="H65" s="294"/>
      <c r="I65" s="294"/>
      <c r="J65" s="294"/>
      <c r="K65" s="97" t="s">
        <v>2247</v>
      </c>
      <c r="L65" s="294"/>
      <c r="M65" s="294"/>
      <c r="N65" s="97"/>
      <c r="O65" s="294"/>
    </row>
    <row r="66" spans="1:15" ht="84" x14ac:dyDescent="0.5">
      <c r="A66" s="60">
        <v>79</v>
      </c>
      <c r="B66" s="253" t="s">
        <v>2265</v>
      </c>
      <c r="C66" s="570">
        <v>190345500</v>
      </c>
      <c r="F66" s="289" t="s">
        <v>2266</v>
      </c>
      <c r="K66" s="244" t="s">
        <v>2242</v>
      </c>
    </row>
    <row r="67" spans="1:15" ht="63" x14ac:dyDescent="0.5">
      <c r="A67" s="60">
        <v>81</v>
      </c>
      <c r="B67" s="253" t="s">
        <v>2268</v>
      </c>
      <c r="C67" s="570">
        <v>109968000</v>
      </c>
      <c r="F67" s="289" t="s">
        <v>2267</v>
      </c>
      <c r="K67" s="244" t="s">
        <v>2269</v>
      </c>
    </row>
    <row r="68" spans="1:15" ht="105" x14ac:dyDescent="0.5">
      <c r="A68" s="60">
        <v>83</v>
      </c>
      <c r="B68" s="255" t="s">
        <v>1084</v>
      </c>
      <c r="C68" s="378">
        <v>2135074372</v>
      </c>
      <c r="D68" s="341"/>
      <c r="E68" s="341"/>
      <c r="F68" s="294" t="s">
        <v>2280</v>
      </c>
      <c r="G68" s="341"/>
      <c r="H68" s="294"/>
      <c r="I68" s="294"/>
      <c r="J68" s="294"/>
      <c r="K68" s="97" t="s">
        <v>2279</v>
      </c>
      <c r="L68" s="294"/>
      <c r="M68" s="294"/>
      <c r="N68" s="97"/>
      <c r="O68" s="294"/>
    </row>
    <row r="69" spans="1:15" x14ac:dyDescent="0.5">
      <c r="A69"/>
      <c r="B69"/>
      <c r="C69" s="537">
        <v>88310592</v>
      </c>
      <c r="D69"/>
      <c r="E69"/>
      <c r="F69"/>
      <c r="G69"/>
      <c r="H69"/>
      <c r="I69"/>
      <c r="J69"/>
      <c r="K69"/>
      <c r="L69"/>
      <c r="M69"/>
      <c r="N69"/>
      <c r="O69"/>
    </row>
  </sheetData>
  <autoFilter ref="A1:O69" xr:uid="{B7F713D5-6307-449A-BB55-73CDEB17992C}"/>
  <conditionalFormatting sqref="A63:I68">
    <cfRule type="expression" dxfId="18" priority="1">
      <formula>$A63&lt;&gt;""</formula>
    </cfRule>
  </conditionalFormatting>
  <pageMargins left="0.7" right="0.7" top="0.75" bottom="0.75" header="0.3" footer="0.3"/>
  <pageSetup paperSize="9" scale="87" fitToHeight="0" orientation="landscape" horizontalDpi="360" verticalDpi="36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A2900-F07B-47D3-AD89-A0D570C5A521}">
  <dimension ref="A1:P6"/>
  <sheetViews>
    <sheetView zoomScale="70" zoomScaleNormal="76" workbookViewId="0">
      <pane xSplit="6" ySplit="2" topLeftCell="K5" activePane="bottomRight" state="frozen"/>
      <selection pane="topRight" activeCell="F1" sqref="F1"/>
      <selection pane="bottomLeft" activeCell="A3" sqref="A3"/>
      <selection pane="bottomRight" activeCell="F9" sqref="F9"/>
    </sheetView>
  </sheetViews>
  <sheetFormatPr defaultColWidth="8.81640625" defaultRowHeight="21" x14ac:dyDescent="0.5"/>
  <cols>
    <col min="1" max="1" width="6.81640625" style="190" bestFit="1" customWidth="1"/>
    <col min="2" max="2" width="39.1796875" style="253" customWidth="1"/>
    <col min="3" max="3" width="25.1796875" style="287" customWidth="1"/>
    <col min="4" max="4" width="31.1796875" style="287" customWidth="1"/>
    <col min="5" max="5" width="25.81640625" style="287" customWidth="1"/>
    <col min="6" max="6" width="21.81640625" style="289" customWidth="1"/>
    <col min="7" max="7" width="42.54296875" style="287" bestFit="1" customWidth="1"/>
    <col min="8" max="8" width="16.1796875" style="289" customWidth="1"/>
    <col min="9" max="9" width="59.81640625" style="289" customWidth="1"/>
    <col min="10" max="10" width="28.54296875" style="289" customWidth="1"/>
    <col min="11" max="11" width="92.1796875" style="244" customWidth="1"/>
    <col min="12" max="12" width="27.453125" style="289" customWidth="1"/>
    <col min="13" max="13" width="45.54296875" style="289" customWidth="1"/>
    <col min="14" max="14" width="14.54296875" style="244" customWidth="1"/>
    <col min="15" max="15" width="80.54296875" style="289" bestFit="1" customWidth="1"/>
    <col min="16" max="16384" width="8.81640625" style="287"/>
  </cols>
  <sheetData>
    <row r="1" spans="1:16" ht="29" thickTop="1" x14ac:dyDescent="0.5">
      <c r="B1" s="293" t="s">
        <v>226</v>
      </c>
      <c r="C1" s="292">
        <f>SUM(C3:C6)</f>
        <v>2457867693</v>
      </c>
      <c r="D1" s="229"/>
      <c r="E1" s="229"/>
    </row>
    <row r="2" spans="1:16" ht="42" x14ac:dyDescent="0.5">
      <c r="A2" s="475" t="s">
        <v>1</v>
      </c>
      <c r="B2" s="476" t="s">
        <v>2</v>
      </c>
      <c r="C2" s="477" t="s">
        <v>3</v>
      </c>
      <c r="D2" s="478" t="s">
        <v>4</v>
      </c>
      <c r="E2" s="478"/>
      <c r="F2" s="479" t="s">
        <v>5</v>
      </c>
      <c r="G2" s="479" t="s">
        <v>6</v>
      </c>
      <c r="H2" s="479" t="s">
        <v>7</v>
      </c>
      <c r="I2" s="475" t="s">
        <v>8</v>
      </c>
      <c r="J2" s="479" t="s">
        <v>9</v>
      </c>
      <c r="K2" s="475" t="s">
        <v>10</v>
      </c>
      <c r="L2" s="479" t="s">
        <v>11</v>
      </c>
      <c r="M2" s="479" t="s">
        <v>12</v>
      </c>
      <c r="N2" s="479" t="s">
        <v>13</v>
      </c>
      <c r="O2" s="480" t="s">
        <v>14</v>
      </c>
      <c r="P2" s="290"/>
    </row>
    <row r="3" spans="1:16" s="341" customFormat="1" ht="147" x14ac:dyDescent="0.5">
      <c r="A3" s="60">
        <v>1</v>
      </c>
      <c r="B3" s="255" t="s">
        <v>227</v>
      </c>
      <c r="C3" s="375">
        <v>475955700</v>
      </c>
      <c r="D3" s="60" t="s">
        <v>228</v>
      </c>
      <c r="E3" s="60" t="s">
        <v>229</v>
      </c>
      <c r="F3" s="61" t="s">
        <v>230</v>
      </c>
      <c r="H3" s="294"/>
      <c r="I3" s="294"/>
      <c r="J3" s="294"/>
      <c r="K3" s="97" t="s">
        <v>231</v>
      </c>
      <c r="L3" s="294"/>
      <c r="M3" s="294"/>
      <c r="N3" s="97"/>
      <c r="O3" s="294"/>
    </row>
    <row r="4" spans="1:16" s="343" customFormat="1" ht="409.5" x14ac:dyDescent="0.5">
      <c r="A4" s="60">
        <v>2</v>
      </c>
      <c r="B4" s="306" t="s">
        <v>232</v>
      </c>
      <c r="C4" s="319">
        <v>339839820</v>
      </c>
      <c r="D4" s="467" t="s">
        <v>233</v>
      </c>
      <c r="E4" s="308" t="s">
        <v>234</v>
      </c>
      <c r="F4" s="358" t="s">
        <v>235</v>
      </c>
      <c r="H4" s="309"/>
      <c r="I4" s="309"/>
      <c r="J4" s="309"/>
      <c r="K4" s="308" t="s">
        <v>236</v>
      </c>
      <c r="L4" s="309"/>
      <c r="M4" s="309" t="s">
        <v>237</v>
      </c>
      <c r="N4" s="438"/>
      <c r="O4" s="309"/>
    </row>
    <row r="5" spans="1:16" s="372" customFormat="1" ht="378" x14ac:dyDescent="0.5">
      <c r="A5" s="60">
        <v>5</v>
      </c>
      <c r="B5" s="454" t="s">
        <v>238</v>
      </c>
      <c r="C5" s="470">
        <v>1642072173</v>
      </c>
      <c r="D5" s="468">
        <v>5685626000</v>
      </c>
      <c r="E5" s="454" t="s">
        <v>239</v>
      </c>
      <c r="F5" s="454" t="s">
        <v>240</v>
      </c>
      <c r="G5" s="455"/>
      <c r="H5" s="456"/>
      <c r="I5" s="459" t="s">
        <v>241</v>
      </c>
      <c r="J5" s="456"/>
      <c r="K5" s="457" t="s">
        <v>242</v>
      </c>
      <c r="L5" s="456"/>
      <c r="M5" s="456" t="s">
        <v>243</v>
      </c>
      <c r="N5" s="390"/>
      <c r="O5" s="389"/>
    </row>
    <row r="6" spans="1:16" s="367" customFormat="1" ht="168" x14ac:dyDescent="0.5">
      <c r="A6" s="60">
        <v>7</v>
      </c>
      <c r="B6" s="364" t="s">
        <v>244</v>
      </c>
      <c r="C6" s="492"/>
      <c r="D6" s="492">
        <v>6184864900</v>
      </c>
      <c r="E6" s="369" t="s">
        <v>245</v>
      </c>
      <c r="F6" s="369" t="s">
        <v>246</v>
      </c>
      <c r="G6" s="369" t="s">
        <v>247</v>
      </c>
      <c r="H6" s="368"/>
      <c r="I6" s="368"/>
      <c r="J6" s="368"/>
      <c r="K6" s="369" t="s">
        <v>248</v>
      </c>
      <c r="L6" s="368"/>
      <c r="M6" s="368"/>
      <c r="N6" s="369"/>
      <c r="O6" s="368"/>
    </row>
  </sheetData>
  <pageMargins left="0.7" right="0.7" top="0.75" bottom="0.75" header="0.3" footer="0.3"/>
  <pageSetup paperSize="9" orientation="portrait" horizontalDpi="360" verticalDpi="36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zoomScale="73" zoomScaleNormal="73" workbookViewId="0">
      <pane xSplit="6" ySplit="2" topLeftCell="J3" activePane="bottomRight" state="frozen"/>
      <selection pane="topRight" activeCell="F1" sqref="F1"/>
      <selection pane="bottomLeft" activeCell="A3" sqref="A3"/>
      <selection pane="bottomRight" activeCell="E4" sqref="E4"/>
    </sheetView>
  </sheetViews>
  <sheetFormatPr defaultColWidth="8.81640625" defaultRowHeight="21" x14ac:dyDescent="0.5"/>
  <cols>
    <col min="1" max="1" width="6.81640625" style="190" bestFit="1" customWidth="1"/>
    <col min="2" max="2" width="39.1796875" style="253" customWidth="1"/>
    <col min="3" max="3" width="23.54296875" style="287" customWidth="1"/>
    <col min="4" max="4" width="21.81640625" style="287" customWidth="1"/>
    <col min="5" max="5" width="26.81640625" style="287" customWidth="1"/>
    <col min="6" max="6" width="25.1796875" style="289" customWidth="1"/>
    <col min="7" max="7" width="42.54296875" style="287" bestFit="1" customWidth="1"/>
    <col min="8" max="8" width="16.1796875" style="289" customWidth="1"/>
    <col min="9" max="9" width="59.81640625" style="289" customWidth="1"/>
    <col min="10" max="10" width="28.54296875" style="289" customWidth="1"/>
    <col min="11" max="11" width="92.1796875" style="244" customWidth="1"/>
    <col min="12" max="12" width="27.453125" style="289" customWidth="1"/>
    <col min="13" max="13" width="45.54296875" style="289" customWidth="1"/>
    <col min="14" max="14" width="14.54296875" style="244" customWidth="1"/>
    <col min="15" max="15" width="80.54296875" style="289" bestFit="1" customWidth="1"/>
    <col min="16" max="16384" width="8.81640625" style="287"/>
  </cols>
  <sheetData>
    <row r="1" spans="1:16" ht="29" thickTop="1" x14ac:dyDescent="0.5">
      <c r="B1" s="293" t="s">
        <v>249</v>
      </c>
      <c r="C1" s="292">
        <f>SUM(C3:C28)</f>
        <v>56442386959</v>
      </c>
      <c r="D1" s="229"/>
      <c r="E1" s="229"/>
    </row>
    <row r="2" spans="1:16" ht="42" x14ac:dyDescent="0.5">
      <c r="A2" s="105" t="s">
        <v>1</v>
      </c>
      <c r="B2" s="284" t="s">
        <v>2</v>
      </c>
      <c r="C2" s="303" t="s">
        <v>3</v>
      </c>
      <c r="D2" s="226" t="s">
        <v>4</v>
      </c>
      <c r="E2" s="226"/>
      <c r="F2" s="106" t="s">
        <v>5</v>
      </c>
      <c r="G2" s="106" t="s">
        <v>6</v>
      </c>
      <c r="H2" s="106" t="s">
        <v>7</v>
      </c>
      <c r="I2" s="105" t="s">
        <v>8</v>
      </c>
      <c r="J2" s="106" t="s">
        <v>9</v>
      </c>
      <c r="K2" s="105" t="s">
        <v>10</v>
      </c>
      <c r="L2" s="106" t="s">
        <v>11</v>
      </c>
      <c r="M2" s="106" t="s">
        <v>12</v>
      </c>
      <c r="N2" s="106" t="s">
        <v>13</v>
      </c>
      <c r="O2" s="286" t="s">
        <v>14</v>
      </c>
      <c r="P2" s="290"/>
    </row>
    <row r="3" spans="1:16" s="372" customFormat="1" ht="84" x14ac:dyDescent="0.5">
      <c r="A3" s="363">
        <v>1</v>
      </c>
      <c r="B3" s="364" t="s">
        <v>250</v>
      </c>
      <c r="C3" s="376">
        <f>288802500+344822400</f>
        <v>633624900</v>
      </c>
      <c r="D3" s="369" t="s">
        <v>228</v>
      </c>
      <c r="E3" s="369"/>
      <c r="F3" s="410" t="s">
        <v>251</v>
      </c>
      <c r="G3" s="367"/>
      <c r="H3" s="368"/>
      <c r="I3" s="368"/>
      <c r="J3" s="368"/>
      <c r="K3" s="369" t="s">
        <v>252</v>
      </c>
      <c r="L3" s="368"/>
      <c r="M3" s="369" t="s">
        <v>253</v>
      </c>
      <c r="N3" s="369" t="s">
        <v>254</v>
      </c>
      <c r="O3" s="368"/>
    </row>
    <row r="4" spans="1:16" ht="63" x14ac:dyDescent="0.5">
      <c r="A4" s="190">
        <v>2</v>
      </c>
      <c r="B4" s="253" t="s">
        <v>255</v>
      </c>
      <c r="C4" s="421">
        <v>214722900</v>
      </c>
      <c r="F4" s="291" t="s">
        <v>256</v>
      </c>
      <c r="K4" s="244" t="s">
        <v>257</v>
      </c>
      <c r="L4" s="289">
        <v>270</v>
      </c>
    </row>
    <row r="5" spans="1:16" ht="42" x14ac:dyDescent="0.5">
      <c r="A5" s="190">
        <v>3</v>
      </c>
      <c r="B5" s="253" t="s">
        <v>227</v>
      </c>
      <c r="C5" s="421">
        <v>475955700</v>
      </c>
      <c r="D5" s="190" t="s">
        <v>228</v>
      </c>
      <c r="E5" s="190"/>
      <c r="F5" s="289" t="s">
        <v>230</v>
      </c>
      <c r="K5" s="244" t="s">
        <v>258</v>
      </c>
    </row>
    <row r="6" spans="1:16" s="310" customFormat="1" ht="105" x14ac:dyDescent="0.5">
      <c r="A6" s="305">
        <v>4</v>
      </c>
      <c r="B6" s="306" t="s">
        <v>259</v>
      </c>
      <c r="C6" s="424">
        <v>3186135459</v>
      </c>
      <c r="D6" s="425" t="s">
        <v>228</v>
      </c>
      <c r="E6" s="425"/>
      <c r="F6" s="423" t="s">
        <v>260</v>
      </c>
      <c r="G6" s="422" t="s">
        <v>261</v>
      </c>
      <c r="H6" s="426"/>
      <c r="I6" s="427" t="s">
        <v>262</v>
      </c>
      <c r="J6" s="427" t="s">
        <v>263</v>
      </c>
      <c r="K6" s="427" t="s">
        <v>264</v>
      </c>
      <c r="L6" s="426"/>
      <c r="M6" s="428" t="s">
        <v>265</v>
      </c>
      <c r="N6" s="426"/>
      <c r="O6" s="428" t="s">
        <v>266</v>
      </c>
    </row>
    <row r="7" spans="1:16" s="343" customFormat="1" ht="189" x14ac:dyDescent="0.5">
      <c r="A7" s="305">
        <v>5</v>
      </c>
      <c r="B7" s="306" t="s">
        <v>232</v>
      </c>
      <c r="C7" s="319">
        <v>339839820</v>
      </c>
      <c r="D7" s="467">
        <v>1931400000</v>
      </c>
      <c r="F7" s="358" t="s">
        <v>235</v>
      </c>
      <c r="H7" s="309"/>
      <c r="I7" s="309"/>
      <c r="J7" s="309"/>
      <c r="K7" s="308" t="s">
        <v>267</v>
      </c>
      <c r="L7" s="309"/>
      <c r="M7" s="309"/>
      <c r="N7" s="438"/>
      <c r="O7" s="309"/>
    </row>
    <row r="8" spans="1:16" ht="126" x14ac:dyDescent="0.5">
      <c r="A8" s="60">
        <v>6</v>
      </c>
      <c r="B8" s="255" t="s">
        <v>268</v>
      </c>
      <c r="C8" s="378">
        <v>1017196840</v>
      </c>
      <c r="D8" s="294" t="s">
        <v>269</v>
      </c>
      <c r="E8" s="294" t="s">
        <v>270</v>
      </c>
      <c r="F8" s="61" t="s">
        <v>271</v>
      </c>
      <c r="G8" s="341"/>
      <c r="H8" s="294"/>
      <c r="I8" s="294"/>
      <c r="J8" s="294"/>
      <c r="K8" s="97" t="s">
        <v>272</v>
      </c>
      <c r="L8" s="294"/>
      <c r="M8" s="294"/>
    </row>
    <row r="9" spans="1:16" ht="210" x14ac:dyDescent="0.5">
      <c r="A9" s="60">
        <v>7</v>
      </c>
      <c r="B9" s="255" t="s">
        <v>273</v>
      </c>
      <c r="C9" s="375">
        <v>579778800</v>
      </c>
      <c r="D9" s="61" t="s">
        <v>246</v>
      </c>
      <c r="E9" s="341"/>
      <c r="F9" s="61" t="s">
        <v>271</v>
      </c>
      <c r="G9" s="341"/>
      <c r="H9" s="294"/>
      <c r="I9" s="294"/>
      <c r="J9" s="294"/>
      <c r="K9" s="97" t="s">
        <v>274</v>
      </c>
      <c r="L9" s="294"/>
      <c r="M9" s="294"/>
    </row>
    <row r="10" spans="1:16" ht="63" x14ac:dyDescent="0.5">
      <c r="A10" s="60">
        <v>8</v>
      </c>
      <c r="B10" s="255" t="s">
        <v>87</v>
      </c>
      <c r="C10" s="471">
        <v>12211780546</v>
      </c>
      <c r="D10" s="294"/>
      <c r="E10" s="341" t="s">
        <v>275</v>
      </c>
      <c r="F10" s="294" t="s">
        <v>276</v>
      </c>
      <c r="G10" s="341"/>
      <c r="H10" s="294"/>
      <c r="I10" s="294" t="s">
        <v>90</v>
      </c>
      <c r="J10" s="294"/>
      <c r="K10" s="97" t="s">
        <v>277</v>
      </c>
      <c r="L10" s="294"/>
      <c r="M10" s="294"/>
    </row>
    <row r="11" spans="1:16" ht="63" x14ac:dyDescent="0.5">
      <c r="A11" s="60">
        <v>9</v>
      </c>
      <c r="B11" s="255" t="s">
        <v>278</v>
      </c>
      <c r="C11" s="472">
        <v>15948442300</v>
      </c>
      <c r="D11" s="341"/>
      <c r="E11" s="341" t="s">
        <v>279</v>
      </c>
      <c r="F11" s="61" t="s">
        <v>280</v>
      </c>
      <c r="G11" s="341"/>
      <c r="H11" s="294"/>
      <c r="I11" s="294" t="s">
        <v>95</v>
      </c>
      <c r="J11" s="294"/>
      <c r="K11" s="97" t="s">
        <v>281</v>
      </c>
      <c r="L11" s="294"/>
      <c r="M11" s="294"/>
    </row>
    <row r="12" spans="1:16" ht="63" x14ac:dyDescent="0.5">
      <c r="A12" s="60">
        <v>10</v>
      </c>
      <c r="B12" s="255" t="s">
        <v>92</v>
      </c>
      <c r="C12" s="472">
        <v>6933786700</v>
      </c>
      <c r="D12" s="341"/>
      <c r="E12" s="341" t="s">
        <v>279</v>
      </c>
      <c r="F12" s="61" t="s">
        <v>280</v>
      </c>
      <c r="G12" s="341"/>
      <c r="H12" s="294"/>
      <c r="I12" s="294" t="s">
        <v>95</v>
      </c>
      <c r="J12" s="294"/>
      <c r="K12" s="97" t="s">
        <v>281</v>
      </c>
      <c r="L12" s="294"/>
      <c r="M12" s="294"/>
    </row>
    <row r="13" spans="1:16" s="372" customFormat="1" ht="84" x14ac:dyDescent="0.5">
      <c r="A13" s="363">
        <v>11</v>
      </c>
      <c r="B13" s="454" t="s">
        <v>238</v>
      </c>
      <c r="C13" s="470">
        <v>1642072173</v>
      </c>
      <c r="D13" s="468">
        <v>5685626000</v>
      </c>
      <c r="E13" s="455"/>
      <c r="F13" s="456" t="s">
        <v>240</v>
      </c>
      <c r="G13" s="455"/>
      <c r="H13" s="456"/>
      <c r="I13" s="459" t="s">
        <v>241</v>
      </c>
      <c r="J13" s="456"/>
      <c r="K13" s="457" t="s">
        <v>282</v>
      </c>
      <c r="L13" s="456"/>
      <c r="M13" s="456"/>
      <c r="N13" s="390"/>
      <c r="O13" s="389"/>
    </row>
    <row r="14" spans="1:16" ht="42" x14ac:dyDescent="0.5">
      <c r="A14" s="60">
        <v>12</v>
      </c>
      <c r="B14" s="255" t="s">
        <v>283</v>
      </c>
      <c r="C14" s="362">
        <v>272252800</v>
      </c>
      <c r="D14" s="341"/>
      <c r="E14" s="341" t="s">
        <v>275</v>
      </c>
      <c r="F14" s="294" t="s">
        <v>284</v>
      </c>
      <c r="G14" s="341"/>
      <c r="H14" s="294"/>
      <c r="I14" s="294" t="s">
        <v>285</v>
      </c>
      <c r="J14" s="294"/>
      <c r="K14" s="97" t="s">
        <v>286</v>
      </c>
      <c r="L14" s="294"/>
      <c r="M14" s="294"/>
      <c r="N14" s="97"/>
      <c r="O14" s="294"/>
    </row>
    <row r="15" spans="1:16" x14ac:dyDescent="0.5">
      <c r="A15" s="60">
        <v>13</v>
      </c>
      <c r="B15" s="255" t="s">
        <v>287</v>
      </c>
      <c r="C15" s="362">
        <v>177514000</v>
      </c>
      <c r="D15" s="341"/>
      <c r="E15" s="341" t="s">
        <v>275</v>
      </c>
      <c r="F15" s="294" t="s">
        <v>284</v>
      </c>
      <c r="G15" s="341"/>
      <c r="H15" s="294"/>
      <c r="I15" s="294" t="s">
        <v>288</v>
      </c>
      <c r="J15" s="294"/>
      <c r="K15" s="97" t="s">
        <v>289</v>
      </c>
      <c r="L15" s="294"/>
      <c r="M15" s="294"/>
      <c r="N15" s="97"/>
      <c r="O15" s="294"/>
    </row>
    <row r="16" spans="1:16" x14ac:dyDescent="0.5">
      <c r="A16" s="60">
        <v>14</v>
      </c>
      <c r="B16" s="255" t="s">
        <v>290</v>
      </c>
      <c r="C16" s="341"/>
      <c r="D16" s="341"/>
      <c r="E16" s="341"/>
      <c r="F16" s="294"/>
      <c r="G16" s="341"/>
      <c r="H16" s="294"/>
      <c r="I16" s="294"/>
      <c r="J16" s="294"/>
      <c r="K16" s="97" t="s">
        <v>291</v>
      </c>
      <c r="L16" s="294"/>
      <c r="M16" s="294"/>
      <c r="N16" s="97"/>
      <c r="O16" s="294"/>
    </row>
    <row r="17" spans="1:16" ht="105" x14ac:dyDescent="0.5">
      <c r="A17" s="60">
        <v>15</v>
      </c>
      <c r="B17" s="352" t="s">
        <v>292</v>
      </c>
      <c r="C17" s="362">
        <f>858542720+1026788400</f>
        <v>1885331120</v>
      </c>
      <c r="D17" s="341"/>
      <c r="E17" s="341"/>
      <c r="F17" s="294" t="s">
        <v>293</v>
      </c>
      <c r="G17" s="341"/>
      <c r="H17" s="294"/>
      <c r="I17" s="61" t="s">
        <v>294</v>
      </c>
      <c r="J17" s="294"/>
      <c r="K17" s="97" t="s">
        <v>295</v>
      </c>
      <c r="L17" s="294"/>
      <c r="M17" s="294"/>
      <c r="N17" s="97"/>
      <c r="O17" s="294"/>
    </row>
    <row r="18" spans="1:16" ht="105" x14ac:dyDescent="0.5">
      <c r="A18" s="60">
        <v>16</v>
      </c>
      <c r="B18" s="352" t="s">
        <v>296</v>
      </c>
      <c r="C18" s="362">
        <f>315601552+417879000</f>
        <v>733480552</v>
      </c>
      <c r="D18" s="341"/>
      <c r="E18" s="341"/>
      <c r="F18" s="294" t="s">
        <v>293</v>
      </c>
      <c r="G18" s="341"/>
      <c r="H18" s="294"/>
      <c r="I18" s="61" t="s">
        <v>294</v>
      </c>
      <c r="J18" s="294"/>
      <c r="K18" s="97" t="s">
        <v>295</v>
      </c>
      <c r="L18" s="294"/>
      <c r="M18" s="294"/>
      <c r="N18" s="97"/>
      <c r="O18" s="294"/>
    </row>
    <row r="19" spans="1:16" ht="63" x14ac:dyDescent="0.5">
      <c r="A19" s="60">
        <v>17</v>
      </c>
      <c r="B19" s="346" t="s">
        <v>297</v>
      </c>
      <c r="C19" s="458">
        <f>144762500+125820000</f>
        <v>270582500</v>
      </c>
      <c r="D19" s="349"/>
      <c r="E19" s="349"/>
      <c r="F19" s="350" t="s">
        <v>298</v>
      </c>
      <c r="G19" s="349"/>
      <c r="H19" s="350"/>
      <c r="I19" s="61" t="s">
        <v>299</v>
      </c>
      <c r="J19" s="350"/>
      <c r="K19" s="97" t="s">
        <v>300</v>
      </c>
      <c r="L19" s="350"/>
      <c r="M19" s="350"/>
      <c r="N19" s="348"/>
      <c r="O19" s="350"/>
    </row>
    <row r="20" spans="1:16" s="382" customFormat="1" ht="105" x14ac:dyDescent="0.5">
      <c r="A20" s="461">
        <v>18</v>
      </c>
      <c r="B20" s="460" t="s">
        <v>301</v>
      </c>
      <c r="C20" s="462">
        <v>232113950</v>
      </c>
      <c r="D20" s="463"/>
      <c r="E20" s="463"/>
      <c r="F20" s="464" t="s">
        <v>302</v>
      </c>
      <c r="G20" s="463"/>
      <c r="H20" s="465"/>
      <c r="I20" s="464" t="s">
        <v>303</v>
      </c>
      <c r="J20" s="465"/>
      <c r="K20" s="466" t="s">
        <v>304</v>
      </c>
      <c r="L20" s="465"/>
      <c r="M20" s="465"/>
      <c r="N20" s="466"/>
      <c r="O20" s="465"/>
      <c r="P20" s="463"/>
    </row>
    <row r="21" spans="1:16" s="341" customFormat="1" ht="63" x14ac:dyDescent="0.5">
      <c r="A21" s="60">
        <v>19</v>
      </c>
      <c r="B21" s="255" t="s">
        <v>305</v>
      </c>
      <c r="C21" s="375">
        <v>5982203000</v>
      </c>
      <c r="F21" s="294" t="s">
        <v>306</v>
      </c>
      <c r="H21" s="294"/>
      <c r="I21" s="97" t="s">
        <v>307</v>
      </c>
      <c r="J21" s="294"/>
      <c r="K21" s="97" t="s">
        <v>308</v>
      </c>
      <c r="L21" s="294"/>
      <c r="M21" s="294"/>
      <c r="N21" s="97"/>
      <c r="O21" s="294"/>
    </row>
    <row r="22" spans="1:16" s="341" customFormat="1" ht="84" x14ac:dyDescent="0.5">
      <c r="A22" s="60">
        <v>20</v>
      </c>
      <c r="B22" s="255" t="s">
        <v>309</v>
      </c>
      <c r="C22" s="375">
        <v>978017535</v>
      </c>
      <c r="F22" s="255" t="s">
        <v>310</v>
      </c>
      <c r="H22" s="294"/>
      <c r="I22" s="97" t="s">
        <v>311</v>
      </c>
      <c r="J22" s="294"/>
      <c r="K22" s="97" t="s">
        <v>312</v>
      </c>
      <c r="L22" s="294"/>
      <c r="M22" s="294"/>
      <c r="N22" s="97"/>
      <c r="O22" s="294"/>
    </row>
    <row r="23" spans="1:16" s="341" customFormat="1" ht="63" x14ac:dyDescent="0.5">
      <c r="A23" s="60">
        <v>21</v>
      </c>
      <c r="B23" s="255" t="s">
        <v>313</v>
      </c>
      <c r="C23" s="375">
        <v>7005400</v>
      </c>
      <c r="F23" s="61" t="s">
        <v>271</v>
      </c>
      <c r="H23" s="294"/>
      <c r="I23" s="97" t="s">
        <v>314</v>
      </c>
      <c r="J23" s="294"/>
      <c r="K23" s="97" t="s">
        <v>315</v>
      </c>
      <c r="L23" s="294"/>
      <c r="M23" s="294"/>
      <c r="N23" s="97"/>
      <c r="O23" s="294"/>
    </row>
    <row r="24" spans="1:16" s="341" customFormat="1" ht="63" x14ac:dyDescent="0.5">
      <c r="A24" s="60">
        <v>22</v>
      </c>
      <c r="B24" s="255" t="s">
        <v>316</v>
      </c>
      <c r="C24" s="375">
        <v>50000000</v>
      </c>
      <c r="D24" s="63" t="s">
        <v>246</v>
      </c>
      <c r="F24" s="61" t="s">
        <v>284</v>
      </c>
      <c r="H24" s="294"/>
      <c r="I24" s="97" t="s">
        <v>317</v>
      </c>
      <c r="J24" s="294"/>
      <c r="K24" s="97" t="s">
        <v>318</v>
      </c>
      <c r="L24" s="294"/>
      <c r="M24" s="294"/>
      <c r="N24" s="97"/>
      <c r="O24" s="294"/>
    </row>
    <row r="25" spans="1:16" s="341" customFormat="1" ht="63" x14ac:dyDescent="0.5">
      <c r="A25" s="60">
        <v>23</v>
      </c>
      <c r="B25" s="255" t="s">
        <v>319</v>
      </c>
      <c r="C25" s="375">
        <v>600000000</v>
      </c>
      <c r="F25" s="294" t="s">
        <v>320</v>
      </c>
      <c r="H25" s="294"/>
      <c r="I25" s="294" t="s">
        <v>321</v>
      </c>
      <c r="J25" s="294"/>
      <c r="K25" s="97" t="s">
        <v>322</v>
      </c>
      <c r="L25" s="294"/>
      <c r="M25" s="294"/>
      <c r="N25" s="97"/>
      <c r="O25" s="294"/>
    </row>
    <row r="26" spans="1:16" ht="66.75" customHeight="1" x14ac:dyDescent="0.5">
      <c r="A26" s="60">
        <v>24</v>
      </c>
      <c r="B26" s="255" t="s">
        <v>323</v>
      </c>
      <c r="C26" s="362">
        <v>377296766</v>
      </c>
      <c r="D26" s="341"/>
      <c r="E26" s="341"/>
      <c r="F26" s="294" t="s">
        <v>324</v>
      </c>
      <c r="G26" s="341"/>
      <c r="H26" s="294"/>
      <c r="I26" s="294" t="s">
        <v>325</v>
      </c>
      <c r="J26" s="294"/>
      <c r="K26" s="97" t="s">
        <v>326</v>
      </c>
      <c r="L26" s="294"/>
      <c r="M26" s="294"/>
      <c r="N26" s="97"/>
      <c r="O26" s="294"/>
    </row>
    <row r="27" spans="1:16" ht="63" x14ac:dyDescent="0.5">
      <c r="A27" s="60">
        <v>25</v>
      </c>
      <c r="B27" s="255" t="s">
        <v>327</v>
      </c>
      <c r="C27" s="378">
        <v>292034400</v>
      </c>
      <c r="D27" s="341"/>
      <c r="E27" s="377">
        <v>775758900</v>
      </c>
      <c r="F27" s="294" t="s">
        <v>328</v>
      </c>
      <c r="G27" s="341"/>
      <c r="H27" s="294"/>
      <c r="I27" s="294" t="s">
        <v>329</v>
      </c>
      <c r="J27" s="294"/>
      <c r="K27" s="97" t="s">
        <v>330</v>
      </c>
      <c r="L27" s="294"/>
      <c r="M27" s="294"/>
      <c r="N27" s="97"/>
      <c r="O27" s="294"/>
    </row>
    <row r="28" spans="1:16" ht="63" x14ac:dyDescent="0.5">
      <c r="A28" s="60">
        <v>26</v>
      </c>
      <c r="B28" s="255" t="s">
        <v>331</v>
      </c>
      <c r="C28" s="378">
        <v>1401218798</v>
      </c>
      <c r="D28" s="341"/>
      <c r="E28" s="341"/>
      <c r="F28" s="61" t="s">
        <v>256</v>
      </c>
      <c r="G28" s="341"/>
      <c r="H28" s="294"/>
      <c r="I28" s="294" t="s">
        <v>332</v>
      </c>
      <c r="J28" s="294"/>
      <c r="K28" s="97" t="s">
        <v>333</v>
      </c>
      <c r="L28" s="294"/>
      <c r="M28" s="294"/>
      <c r="N28" s="97"/>
      <c r="O28" s="294"/>
    </row>
    <row r="29" spans="1:16" s="382" customFormat="1" ht="84" x14ac:dyDescent="0.5">
      <c r="A29" s="432">
        <v>27</v>
      </c>
      <c r="B29" s="399" t="s">
        <v>334</v>
      </c>
      <c r="C29" s="444">
        <v>2318307208</v>
      </c>
      <c r="D29" s="400"/>
      <c r="E29" s="400"/>
      <c r="F29" s="411" t="s">
        <v>113</v>
      </c>
      <c r="G29" s="400"/>
      <c r="H29" s="401"/>
      <c r="I29" s="402" t="s">
        <v>335</v>
      </c>
      <c r="J29" s="401"/>
      <c r="K29" s="402" t="s">
        <v>336</v>
      </c>
      <c r="L29" s="401"/>
      <c r="M29" s="401"/>
      <c r="N29" s="402"/>
      <c r="O29" s="401"/>
    </row>
    <row r="30" spans="1:16" ht="84" x14ac:dyDescent="0.5">
      <c r="A30" s="60">
        <v>28</v>
      </c>
      <c r="B30" s="255" t="s">
        <v>337</v>
      </c>
      <c r="C30" s="362">
        <f>337749700+297300+3217636000</f>
        <v>3555683000</v>
      </c>
      <c r="D30" s="341"/>
      <c r="E30" s="341"/>
      <c r="F30" s="97" t="s">
        <v>338</v>
      </c>
      <c r="G30" s="341"/>
      <c r="H30" s="294"/>
      <c r="I30" s="97" t="s">
        <v>339</v>
      </c>
      <c r="J30" s="294"/>
      <c r="K30" s="97" t="s">
        <v>340</v>
      </c>
      <c r="L30" s="294"/>
      <c r="M30" s="294"/>
      <c r="N30" s="97"/>
      <c r="O30" s="294"/>
    </row>
    <row r="31" spans="1:16" ht="84" x14ac:dyDescent="0.5">
      <c r="A31" s="60">
        <v>29</v>
      </c>
      <c r="B31" s="255" t="s">
        <v>341</v>
      </c>
      <c r="C31" s="378">
        <v>51325500</v>
      </c>
      <c r="D31" s="341"/>
      <c r="E31" s="341"/>
      <c r="F31" s="97" t="s">
        <v>342</v>
      </c>
      <c r="G31" s="341"/>
      <c r="H31" s="294"/>
      <c r="I31" s="97" t="s">
        <v>343</v>
      </c>
      <c r="J31" s="294"/>
      <c r="K31" s="97" t="s">
        <v>344</v>
      </c>
      <c r="L31" s="294"/>
      <c r="M31" s="294"/>
      <c r="N31" s="97"/>
      <c r="O31" s="294"/>
    </row>
    <row r="32" spans="1:16" ht="42" x14ac:dyDescent="0.5">
      <c r="A32" s="60">
        <v>30</v>
      </c>
      <c r="B32" s="255" t="s">
        <v>345</v>
      </c>
      <c r="C32" s="362">
        <v>1995973400</v>
      </c>
      <c r="D32" s="341"/>
      <c r="E32" s="341"/>
      <c r="F32" s="97" t="s">
        <v>346</v>
      </c>
      <c r="G32" s="341"/>
      <c r="H32" s="294"/>
      <c r="I32" s="97"/>
      <c r="J32" s="294"/>
      <c r="K32" s="97" t="s">
        <v>347</v>
      </c>
      <c r="L32" s="294"/>
      <c r="M32" s="294"/>
      <c r="N32" s="97"/>
      <c r="O32" s="294"/>
    </row>
    <row r="33" spans="1:15" ht="126" x14ac:dyDescent="0.5">
      <c r="A33" s="60">
        <v>31</v>
      </c>
      <c r="B33" s="255" t="s">
        <v>348</v>
      </c>
      <c r="C33" s="378">
        <v>276864600</v>
      </c>
      <c r="D33" s="341"/>
      <c r="E33" s="341"/>
      <c r="F33" s="97" t="s">
        <v>349</v>
      </c>
      <c r="G33" s="341"/>
      <c r="H33" s="294"/>
      <c r="I33" s="97"/>
      <c r="J33" s="294"/>
      <c r="K33" s="97" t="s">
        <v>350</v>
      </c>
      <c r="L33" s="294"/>
      <c r="M33" s="294"/>
      <c r="N33" s="97"/>
      <c r="O33" s="294"/>
    </row>
    <row r="34" spans="1:15" ht="105" x14ac:dyDescent="0.5">
      <c r="A34" s="60">
        <v>32</v>
      </c>
      <c r="B34" s="255" t="s">
        <v>351</v>
      </c>
      <c r="C34" s="378">
        <v>57130500</v>
      </c>
      <c r="D34" s="341"/>
      <c r="E34" s="341"/>
      <c r="F34" s="97" t="s">
        <v>342</v>
      </c>
      <c r="G34" s="341"/>
      <c r="H34" s="294"/>
      <c r="I34" s="97" t="s">
        <v>352</v>
      </c>
      <c r="J34" s="294"/>
      <c r="K34" s="97" t="s">
        <v>344</v>
      </c>
      <c r="L34" s="294"/>
      <c r="M34" s="294"/>
      <c r="N34" s="97"/>
      <c r="O34" s="294"/>
    </row>
    <row r="35" spans="1:15" ht="84" x14ac:dyDescent="0.5">
      <c r="A35" s="60">
        <v>33</v>
      </c>
      <c r="B35" s="255" t="s">
        <v>353</v>
      </c>
      <c r="C35" s="378">
        <v>281838100</v>
      </c>
      <c r="D35" s="341"/>
      <c r="E35" s="341"/>
      <c r="F35" s="294" t="s">
        <v>354</v>
      </c>
      <c r="G35" s="341"/>
      <c r="H35" s="294"/>
      <c r="I35" s="97" t="s">
        <v>355</v>
      </c>
      <c r="J35" s="294"/>
      <c r="K35" s="97" t="s">
        <v>356</v>
      </c>
      <c r="L35" s="294"/>
      <c r="M35" s="294"/>
      <c r="N35" s="97"/>
      <c r="O35" s="294"/>
    </row>
    <row r="36" spans="1:15" ht="147" x14ac:dyDescent="0.5">
      <c r="A36" s="60">
        <v>34</v>
      </c>
      <c r="B36" s="255" t="s">
        <v>357</v>
      </c>
      <c r="C36" s="378">
        <v>1474722000</v>
      </c>
      <c r="D36" s="341"/>
      <c r="E36" s="341"/>
      <c r="F36" s="294" t="s">
        <v>358</v>
      </c>
      <c r="G36" s="341"/>
      <c r="H36" s="294"/>
      <c r="I36" s="294"/>
      <c r="J36" s="294"/>
      <c r="K36" s="97" t="s">
        <v>359</v>
      </c>
      <c r="L36" s="294"/>
      <c r="M36" s="294"/>
      <c r="N36" s="97"/>
      <c r="O36" s="294"/>
    </row>
    <row r="37" spans="1:15" ht="84" x14ac:dyDescent="0.5">
      <c r="A37" s="60">
        <v>35</v>
      </c>
      <c r="B37" s="255" t="s">
        <v>360</v>
      </c>
      <c r="C37" s="378">
        <v>216170300</v>
      </c>
      <c r="D37" s="341"/>
      <c r="E37" s="341"/>
      <c r="F37" s="294" t="s">
        <v>361</v>
      </c>
      <c r="G37" s="341"/>
      <c r="H37" s="294"/>
      <c r="I37" s="97" t="s">
        <v>362</v>
      </c>
      <c r="J37" s="294"/>
      <c r="K37" s="97" t="s">
        <v>340</v>
      </c>
      <c r="L37" s="294"/>
      <c r="M37" s="294"/>
      <c r="N37" s="97"/>
      <c r="O37" s="294"/>
    </row>
    <row r="38" spans="1:15" ht="84" x14ac:dyDescent="0.5">
      <c r="A38" s="60">
        <v>36</v>
      </c>
      <c r="B38" s="255" t="s">
        <v>363</v>
      </c>
      <c r="C38" s="378">
        <v>121924300</v>
      </c>
      <c r="D38" s="341"/>
      <c r="E38" s="341"/>
      <c r="F38" s="294" t="s">
        <v>364</v>
      </c>
      <c r="G38" s="341"/>
      <c r="H38" s="294"/>
      <c r="I38" s="294"/>
      <c r="J38" s="294"/>
      <c r="K38" s="97" t="s">
        <v>365</v>
      </c>
      <c r="L38" s="294"/>
      <c r="M38" s="294"/>
      <c r="N38" s="97"/>
      <c r="O38" s="294"/>
    </row>
    <row r="39" spans="1:15" ht="42" x14ac:dyDescent="0.5">
      <c r="A39" s="60">
        <v>37</v>
      </c>
      <c r="B39" s="255" t="s">
        <v>366</v>
      </c>
      <c r="C39" s="341"/>
      <c r="D39" s="341"/>
      <c r="E39" s="341"/>
      <c r="F39" s="294" t="s">
        <v>105</v>
      </c>
      <c r="G39" s="341"/>
      <c r="H39" s="294"/>
      <c r="I39" s="294"/>
      <c r="J39" s="294"/>
      <c r="K39" s="97" t="s">
        <v>367</v>
      </c>
      <c r="L39" s="294"/>
      <c r="M39" s="294"/>
      <c r="N39" s="97"/>
      <c r="O39" s="294"/>
    </row>
    <row r="40" spans="1:15" ht="63" x14ac:dyDescent="0.5">
      <c r="A40" s="60">
        <v>38</v>
      </c>
      <c r="B40" s="255" t="s">
        <v>368</v>
      </c>
      <c r="C40" s="341"/>
      <c r="D40" s="341"/>
      <c r="E40" s="341"/>
      <c r="F40" s="294" t="s">
        <v>256</v>
      </c>
      <c r="G40" s="341"/>
      <c r="H40" s="294"/>
      <c r="I40" s="294"/>
      <c r="J40" s="294"/>
      <c r="K40" s="97" t="s">
        <v>369</v>
      </c>
      <c r="L40" s="294"/>
      <c r="M40" s="294"/>
      <c r="N40" s="97"/>
      <c r="O40" s="294"/>
    </row>
  </sheetData>
  <conditionalFormatting sqref="D6:E6">
    <cfRule type="expression" dxfId="17" priority="2">
      <formula>$A6&lt;&gt;""</formula>
    </cfRule>
  </conditionalFormatting>
  <pageMargins left="0.7" right="0.7" top="0.75" bottom="0.75" header="0.3" footer="0.3"/>
  <pageSetup paperSize="9" orientation="portrait" horizontalDpi="360" verticalDpi="36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
  <sheetViews>
    <sheetView zoomScale="76" zoomScaleNormal="30" workbookViewId="0">
      <pane xSplit="5" ySplit="2" topLeftCell="I15" activePane="bottomRight" state="frozen"/>
      <selection pane="topRight" activeCell="F1" sqref="F1"/>
      <selection pane="bottomLeft" activeCell="A3" sqref="A3"/>
      <selection pane="bottomRight" activeCell="J22" sqref="J22"/>
    </sheetView>
  </sheetViews>
  <sheetFormatPr defaultColWidth="8.81640625" defaultRowHeight="21" x14ac:dyDescent="0.5"/>
  <cols>
    <col min="1" max="1" width="4.81640625" style="190" bestFit="1" customWidth="1"/>
    <col min="2" max="2" width="39.1796875" style="253" customWidth="1"/>
    <col min="3" max="3" width="21.81640625" style="287" customWidth="1"/>
    <col min="4" max="4" width="21.1796875" style="287" customWidth="1"/>
    <col min="5" max="5" width="25.1796875" style="289" customWidth="1"/>
    <col min="6" max="6" width="42.54296875" style="287" bestFit="1" customWidth="1"/>
    <col min="7" max="7" width="16.1796875" style="289" customWidth="1"/>
    <col min="8" max="8" width="59.81640625" style="289" customWidth="1"/>
    <col min="9" max="9" width="28.54296875" style="289" customWidth="1"/>
    <col min="10" max="10" width="92.1796875" style="244" customWidth="1"/>
    <col min="11" max="11" width="27.453125" style="289" customWidth="1"/>
    <col min="12" max="12" width="45.54296875" style="289" customWidth="1"/>
    <col min="13" max="13" width="14.54296875" style="289" customWidth="1"/>
    <col min="14" max="14" width="80.54296875" style="289" bestFit="1" customWidth="1"/>
    <col min="15" max="16384" width="8.81640625" style="287"/>
  </cols>
  <sheetData>
    <row r="1" spans="1:15" ht="29" thickTop="1" x14ac:dyDescent="0.5">
      <c r="B1" s="293" t="s">
        <v>370</v>
      </c>
      <c r="C1" s="292">
        <f>SUM(C3:C21)</f>
        <v>10164493393</v>
      </c>
      <c r="D1" s="229"/>
      <c r="M1" s="244"/>
    </row>
    <row r="2" spans="1:15" ht="42" x14ac:dyDescent="0.5">
      <c r="A2" s="105" t="s">
        <v>1</v>
      </c>
      <c r="B2" s="284" t="s">
        <v>2</v>
      </c>
      <c r="C2" s="303" t="s">
        <v>3</v>
      </c>
      <c r="D2" s="226" t="s">
        <v>4</v>
      </c>
      <c r="E2" s="106" t="s">
        <v>5</v>
      </c>
      <c r="F2" s="106" t="s">
        <v>6</v>
      </c>
      <c r="G2" s="106" t="s">
        <v>7</v>
      </c>
      <c r="H2" s="105" t="s">
        <v>8</v>
      </c>
      <c r="I2" s="106" t="s">
        <v>9</v>
      </c>
      <c r="J2" s="105" t="s">
        <v>10</v>
      </c>
      <c r="K2" s="106" t="s">
        <v>11</v>
      </c>
      <c r="L2" s="106" t="s">
        <v>12</v>
      </c>
      <c r="M2" s="106" t="s">
        <v>13</v>
      </c>
      <c r="N2" s="286" t="s">
        <v>14</v>
      </c>
      <c r="O2" s="290"/>
    </row>
    <row r="3" spans="1:15" ht="63" x14ac:dyDescent="0.5">
      <c r="A3" s="56">
        <v>1</v>
      </c>
      <c r="B3" s="255" t="s">
        <v>371</v>
      </c>
      <c r="C3" s="243">
        <v>150385000</v>
      </c>
      <c r="D3" s="227" t="s">
        <v>228</v>
      </c>
      <c r="E3" s="97" t="s">
        <v>372</v>
      </c>
      <c r="F3" s="56" t="s">
        <v>373</v>
      </c>
      <c r="G3" s="294"/>
      <c r="H3" s="97" t="s">
        <v>374</v>
      </c>
      <c r="I3" s="294"/>
      <c r="J3" s="97" t="s">
        <v>375</v>
      </c>
      <c r="K3" s="294"/>
      <c r="L3" s="294"/>
      <c r="M3" s="294"/>
      <c r="N3" s="294"/>
    </row>
    <row r="4" spans="1:15" ht="147" x14ac:dyDescent="0.5">
      <c r="A4" s="60">
        <v>2</v>
      </c>
      <c r="B4" s="255" t="s">
        <v>376</v>
      </c>
      <c r="C4" s="243" t="s">
        <v>377</v>
      </c>
      <c r="D4" s="227" t="s">
        <v>228</v>
      </c>
      <c r="E4" s="97" t="s">
        <v>378</v>
      </c>
      <c r="F4" s="60" t="s">
        <v>379</v>
      </c>
      <c r="G4" s="294"/>
      <c r="H4" s="97"/>
      <c r="I4" s="97" t="s">
        <v>380</v>
      </c>
      <c r="J4" s="97" t="s">
        <v>381</v>
      </c>
      <c r="K4" s="294"/>
      <c r="L4" s="294"/>
      <c r="M4" s="294"/>
      <c r="N4" s="294"/>
    </row>
    <row r="5" spans="1:15" s="357" customFormat="1" ht="126" x14ac:dyDescent="0.5">
      <c r="A5" s="351">
        <v>3</v>
      </c>
      <c r="B5" s="352" t="s">
        <v>382</v>
      </c>
      <c r="C5" s="370" t="s">
        <v>383</v>
      </c>
      <c r="D5" s="354" t="s">
        <v>384</v>
      </c>
      <c r="E5" s="355" t="s">
        <v>385</v>
      </c>
      <c r="F5" s="351" t="s">
        <v>386</v>
      </c>
      <c r="G5" s="356"/>
      <c r="H5" s="355" t="s">
        <v>387</v>
      </c>
      <c r="I5" s="356"/>
      <c r="J5" s="355" t="s">
        <v>388</v>
      </c>
      <c r="K5" s="356"/>
      <c r="L5" s="356" t="s">
        <v>389</v>
      </c>
      <c r="M5" s="356"/>
      <c r="N5" s="355" t="s">
        <v>390</v>
      </c>
    </row>
    <row r="6" spans="1:15" ht="77.25" customHeight="1" x14ac:dyDescent="0.5">
      <c r="A6" s="60">
        <v>4</v>
      </c>
      <c r="B6" s="255" t="s">
        <v>391</v>
      </c>
      <c r="C6" s="243">
        <v>905947000</v>
      </c>
      <c r="D6" s="227" t="s">
        <v>228</v>
      </c>
      <c r="E6" s="97" t="s">
        <v>392</v>
      </c>
      <c r="F6" s="60" t="s">
        <v>393</v>
      </c>
      <c r="G6" s="294"/>
      <c r="H6" s="97" t="s">
        <v>394</v>
      </c>
      <c r="I6" s="294"/>
      <c r="J6" s="97" t="s">
        <v>395</v>
      </c>
      <c r="K6" s="294"/>
      <c r="L6" s="294" t="s">
        <v>396</v>
      </c>
      <c r="M6" s="294"/>
      <c r="N6" s="294"/>
    </row>
    <row r="7" spans="1:15" ht="71.25" customHeight="1" x14ac:dyDescent="0.5">
      <c r="A7" s="56">
        <v>5</v>
      </c>
      <c r="B7" s="255" t="s">
        <v>397</v>
      </c>
      <c r="C7" s="243">
        <v>135929980</v>
      </c>
      <c r="D7" s="227" t="s">
        <v>228</v>
      </c>
      <c r="E7" s="97" t="s">
        <v>398</v>
      </c>
      <c r="F7" s="60" t="s">
        <v>393</v>
      </c>
      <c r="G7" s="294"/>
      <c r="H7" s="97" t="s">
        <v>399</v>
      </c>
      <c r="I7" s="294"/>
      <c r="J7" s="97" t="s">
        <v>400</v>
      </c>
      <c r="K7" s="294"/>
      <c r="L7" s="294"/>
      <c r="M7" s="294"/>
      <c r="N7" s="294"/>
    </row>
    <row r="8" spans="1:15" ht="109.5" customHeight="1" x14ac:dyDescent="0.5">
      <c r="A8" s="60">
        <v>6</v>
      </c>
      <c r="B8" s="255" t="s">
        <v>401</v>
      </c>
      <c r="C8" s="243">
        <v>464025800</v>
      </c>
      <c r="D8" s="227" t="s">
        <v>228</v>
      </c>
      <c r="E8" s="97" t="s">
        <v>402</v>
      </c>
      <c r="F8" s="60" t="s">
        <v>403</v>
      </c>
      <c r="G8" s="294"/>
      <c r="H8" s="97" t="s">
        <v>404</v>
      </c>
      <c r="I8" s="294"/>
      <c r="J8" s="97" t="s">
        <v>405</v>
      </c>
      <c r="K8" s="294"/>
      <c r="L8" s="294"/>
      <c r="M8" s="294"/>
      <c r="N8" s="294"/>
    </row>
    <row r="9" spans="1:15" ht="99.75" customHeight="1" x14ac:dyDescent="0.5">
      <c r="A9" s="56">
        <v>7</v>
      </c>
      <c r="B9" s="255" t="s">
        <v>406</v>
      </c>
      <c r="C9" s="243">
        <v>1809194400</v>
      </c>
      <c r="D9" s="227" t="s">
        <v>228</v>
      </c>
      <c r="E9" s="97" t="s">
        <v>385</v>
      </c>
      <c r="F9" s="60" t="s">
        <v>403</v>
      </c>
      <c r="G9" s="294"/>
      <c r="H9" s="97" t="s">
        <v>407</v>
      </c>
      <c r="I9" s="294"/>
      <c r="J9" s="97" t="s">
        <v>408</v>
      </c>
      <c r="K9" s="294"/>
      <c r="L9" s="97" t="s">
        <v>409</v>
      </c>
      <c r="M9" s="294"/>
      <c r="N9" s="97" t="s">
        <v>410</v>
      </c>
    </row>
    <row r="10" spans="1:15" s="310" customFormat="1" ht="105" x14ac:dyDescent="0.5">
      <c r="A10" s="60">
        <v>8</v>
      </c>
      <c r="B10" s="306" t="s">
        <v>259</v>
      </c>
      <c r="C10" s="319">
        <v>3186135459</v>
      </c>
      <c r="D10" s="307" t="s">
        <v>228</v>
      </c>
      <c r="E10" s="308" t="s">
        <v>260</v>
      </c>
      <c r="F10" s="305" t="s">
        <v>261</v>
      </c>
      <c r="G10" s="309"/>
      <c r="H10" s="308" t="s">
        <v>262</v>
      </c>
      <c r="I10" s="308" t="s">
        <v>263</v>
      </c>
      <c r="J10" s="308" t="s">
        <v>411</v>
      </c>
      <c r="K10" s="309"/>
      <c r="L10" s="358" t="s">
        <v>265</v>
      </c>
      <c r="M10" s="309"/>
      <c r="N10" s="358" t="s">
        <v>266</v>
      </c>
    </row>
    <row r="11" spans="1:15" ht="42" x14ac:dyDescent="0.5">
      <c r="A11" s="60">
        <v>10</v>
      </c>
      <c r="B11" s="255" t="s">
        <v>412</v>
      </c>
      <c r="C11" s="344">
        <v>3585120</v>
      </c>
      <c r="D11" s="227" t="s">
        <v>413</v>
      </c>
      <c r="E11" s="97" t="s">
        <v>398</v>
      </c>
      <c r="F11" s="341"/>
      <c r="G11" s="294"/>
      <c r="H11" s="294"/>
      <c r="I11" s="294"/>
      <c r="J11" s="97" t="s">
        <v>414</v>
      </c>
      <c r="K11" s="294"/>
      <c r="L11" s="294"/>
      <c r="M11" s="294"/>
      <c r="N11" s="294"/>
    </row>
    <row r="12" spans="1:15" ht="42" x14ac:dyDescent="0.5">
      <c r="A12" s="56">
        <v>11</v>
      </c>
      <c r="B12" s="255" t="s">
        <v>415</v>
      </c>
      <c r="C12" s="344">
        <v>5949000</v>
      </c>
      <c r="D12" s="227" t="s">
        <v>413</v>
      </c>
      <c r="E12" s="97" t="s">
        <v>398</v>
      </c>
      <c r="F12" s="341"/>
      <c r="G12" s="294"/>
      <c r="H12" s="97" t="s">
        <v>416</v>
      </c>
      <c r="I12" s="294"/>
      <c r="J12" s="97" t="s">
        <v>414</v>
      </c>
      <c r="K12" s="294"/>
      <c r="L12" s="294"/>
      <c r="M12" s="294"/>
      <c r="N12" s="294"/>
    </row>
    <row r="13" spans="1:15" s="310" customFormat="1" ht="42" x14ac:dyDescent="0.5">
      <c r="A13" s="60">
        <v>12</v>
      </c>
      <c r="B13" s="306" t="s">
        <v>417</v>
      </c>
      <c r="C13" s="319">
        <v>968389530</v>
      </c>
      <c r="D13" s="307" t="s">
        <v>228</v>
      </c>
      <c r="E13" s="308" t="s">
        <v>260</v>
      </c>
      <c r="F13" s="343"/>
      <c r="G13" s="309"/>
      <c r="H13" s="308" t="s">
        <v>418</v>
      </c>
      <c r="I13" s="309"/>
      <c r="J13" s="308" t="s">
        <v>419</v>
      </c>
      <c r="K13" s="309"/>
      <c r="L13" s="309"/>
      <c r="M13" s="309"/>
      <c r="N13" s="309"/>
    </row>
    <row r="14" spans="1:15" ht="84" x14ac:dyDescent="0.5">
      <c r="A14" s="56">
        <v>13</v>
      </c>
      <c r="B14" s="346" t="s">
        <v>420</v>
      </c>
      <c r="C14" s="344">
        <v>16000000</v>
      </c>
      <c r="D14" s="347" t="s">
        <v>228</v>
      </c>
      <c r="E14" s="348" t="s">
        <v>421</v>
      </c>
      <c r="F14" s="349"/>
      <c r="G14" s="350"/>
      <c r="H14" s="350"/>
      <c r="I14" s="350"/>
      <c r="J14" s="348" t="s">
        <v>422</v>
      </c>
      <c r="K14" s="350"/>
      <c r="L14" s="350"/>
      <c r="M14" s="350"/>
      <c r="N14" s="350"/>
    </row>
    <row r="15" spans="1:15" s="357" customFormat="1" ht="189" x14ac:dyDescent="0.5">
      <c r="A15" s="60">
        <v>14</v>
      </c>
      <c r="B15" s="352" t="s">
        <v>423</v>
      </c>
      <c r="C15" s="353">
        <v>55740000</v>
      </c>
      <c r="D15" s="354" t="s">
        <v>424</v>
      </c>
      <c r="E15" s="355" t="s">
        <v>425</v>
      </c>
      <c r="F15" s="371"/>
      <c r="G15" s="356"/>
      <c r="H15" s="356"/>
      <c r="I15" s="356"/>
      <c r="J15" s="355" t="s">
        <v>426</v>
      </c>
      <c r="K15" s="356"/>
      <c r="L15" s="356"/>
      <c r="M15" s="356"/>
      <c r="N15" s="356"/>
    </row>
    <row r="16" spans="1:15" ht="84" x14ac:dyDescent="0.5">
      <c r="A16" s="56">
        <v>15</v>
      </c>
      <c r="B16" s="255" t="s">
        <v>427</v>
      </c>
      <c r="C16" s="243">
        <v>1070328580</v>
      </c>
      <c r="D16" s="227" t="s">
        <v>228</v>
      </c>
      <c r="E16" s="97" t="s">
        <v>398</v>
      </c>
      <c r="F16" s="60" t="s">
        <v>428</v>
      </c>
      <c r="G16" s="294"/>
      <c r="H16" s="294"/>
      <c r="I16" s="294"/>
      <c r="J16" s="97" t="s">
        <v>429</v>
      </c>
      <c r="K16" s="294"/>
      <c r="L16" s="294"/>
      <c r="M16" s="294"/>
      <c r="N16" s="294"/>
    </row>
    <row r="17" spans="1:14" ht="105" x14ac:dyDescent="0.5">
      <c r="A17" s="60">
        <v>16</v>
      </c>
      <c r="B17" s="255" t="s">
        <v>430</v>
      </c>
      <c r="C17" s="243">
        <v>974998310</v>
      </c>
      <c r="D17" s="227" t="s">
        <v>228</v>
      </c>
      <c r="E17" s="97" t="s">
        <v>398</v>
      </c>
      <c r="F17" s="60" t="s">
        <v>428</v>
      </c>
      <c r="G17" s="294"/>
      <c r="H17" s="294"/>
      <c r="I17" s="294"/>
      <c r="J17" s="97" t="s">
        <v>431</v>
      </c>
      <c r="K17" s="294"/>
      <c r="L17" s="294"/>
      <c r="M17" s="294"/>
      <c r="N17" s="294"/>
    </row>
    <row r="18" spans="1:14" s="341" customFormat="1" ht="63" x14ac:dyDescent="0.5">
      <c r="A18" s="56">
        <v>17</v>
      </c>
      <c r="B18" s="255" t="s">
        <v>432</v>
      </c>
      <c r="C18" s="361">
        <v>112978000</v>
      </c>
      <c r="D18" s="97" t="s">
        <v>433</v>
      </c>
      <c r="E18" s="97" t="s">
        <v>434</v>
      </c>
      <c r="G18" s="294"/>
      <c r="H18" s="294"/>
      <c r="I18" s="294"/>
      <c r="J18" s="97" t="s">
        <v>435</v>
      </c>
      <c r="K18" s="294"/>
      <c r="L18" s="294"/>
      <c r="M18" s="294"/>
      <c r="N18" s="294"/>
    </row>
    <row r="19" spans="1:14" s="341" customFormat="1" ht="42" x14ac:dyDescent="0.5">
      <c r="A19" s="60">
        <v>18</v>
      </c>
      <c r="B19" s="255" t="s">
        <v>436</v>
      </c>
      <c r="C19" s="340">
        <v>35712614</v>
      </c>
      <c r="D19" s="227" t="s">
        <v>228</v>
      </c>
      <c r="E19" s="97" t="s">
        <v>437</v>
      </c>
      <c r="G19" s="294"/>
      <c r="H19" s="294"/>
      <c r="I19" s="294"/>
      <c r="J19" s="97" t="s">
        <v>438</v>
      </c>
      <c r="K19" s="294"/>
      <c r="L19" s="294"/>
      <c r="M19" s="294"/>
      <c r="N19" s="294"/>
    </row>
    <row r="20" spans="1:14" s="341" customFormat="1" ht="42" x14ac:dyDescent="0.5">
      <c r="A20" s="56">
        <v>19</v>
      </c>
      <c r="B20" s="255" t="s">
        <v>439</v>
      </c>
      <c r="C20" s="362">
        <v>178000000</v>
      </c>
      <c r="D20" s="97" t="s">
        <v>433</v>
      </c>
      <c r="E20" s="97" t="s">
        <v>440</v>
      </c>
      <c r="G20" s="294"/>
      <c r="H20" s="294"/>
      <c r="I20" s="294"/>
      <c r="J20" s="97" t="s">
        <v>441</v>
      </c>
      <c r="K20" s="294"/>
      <c r="L20" s="294"/>
      <c r="M20" s="294"/>
      <c r="N20" s="294"/>
    </row>
    <row r="21" spans="1:14" s="367" customFormat="1" ht="63" x14ac:dyDescent="0.5">
      <c r="A21" s="60">
        <v>20</v>
      </c>
      <c r="B21" s="364" t="s">
        <v>442</v>
      </c>
      <c r="C21" s="365">
        <v>91194600</v>
      </c>
      <c r="D21" s="366" t="s">
        <v>443</v>
      </c>
      <c r="E21" s="369" t="s">
        <v>444</v>
      </c>
      <c r="G21" s="368"/>
      <c r="H21" s="368"/>
      <c r="I21" s="368"/>
      <c r="J21" s="369" t="s">
        <v>445</v>
      </c>
      <c r="K21" s="368"/>
      <c r="L21" s="368"/>
      <c r="M21" s="368"/>
      <c r="N21" s="368"/>
    </row>
    <row r="22" spans="1:14" ht="63" x14ac:dyDescent="0.5">
      <c r="A22" s="56">
        <v>21</v>
      </c>
      <c r="B22" s="253" t="s">
        <v>446</v>
      </c>
      <c r="E22" s="289" t="s">
        <v>447</v>
      </c>
      <c r="J22" s="244" t="s">
        <v>448</v>
      </c>
    </row>
  </sheetData>
  <conditionalFormatting sqref="D19">
    <cfRule type="expression" dxfId="16" priority="1">
      <formula>$A19&lt;&gt;""</formula>
    </cfRule>
  </conditionalFormatting>
  <conditionalFormatting sqref="F3 D3:D17 A3:A22">
    <cfRule type="expression" dxfId="15" priority="6">
      <formula>$A3&lt;&gt;""</formula>
    </cfRule>
  </conditionalFormatting>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1"/>
  <sheetViews>
    <sheetView zoomScale="70" zoomScaleNormal="70" zoomScaleSheetLayoutView="70" workbookViewId="0">
      <pane xSplit="5" ySplit="2" topLeftCell="F6" activePane="bottomRight" state="frozen"/>
      <selection pane="topRight" activeCell="D1" sqref="D1"/>
      <selection pane="bottomLeft" activeCell="A3" sqref="A3"/>
      <selection pane="bottomRight" activeCell="C8" sqref="C8"/>
    </sheetView>
  </sheetViews>
  <sheetFormatPr defaultRowHeight="14.5" x14ac:dyDescent="0.35"/>
  <cols>
    <col min="1" max="1" width="11.1796875" bestFit="1" customWidth="1"/>
    <col min="2" max="2" width="55.81640625" style="254" bestFit="1" customWidth="1"/>
    <col min="3" max="3" width="21.1796875" style="246" bestFit="1" customWidth="1"/>
    <col min="4" max="4" width="18.1796875" style="231" customWidth="1"/>
    <col min="5" max="5" width="32.453125" customWidth="1"/>
    <col min="6" max="6" width="40.1796875" bestFit="1" customWidth="1"/>
    <col min="7" max="7" width="26.54296875" customWidth="1"/>
    <col min="8" max="8" width="72.1796875" bestFit="1" customWidth="1"/>
    <col min="9" max="9" width="15.54296875" customWidth="1"/>
    <col min="10" max="10" width="48.81640625" bestFit="1" customWidth="1"/>
    <col min="11" max="11" width="16.1796875" hidden="1" customWidth="1"/>
    <col min="12" max="12" width="22.1796875" hidden="1" customWidth="1"/>
    <col min="13" max="13" width="8.81640625" style="29"/>
    <col min="14" max="14" width="9.81640625" customWidth="1"/>
  </cols>
  <sheetData>
    <row r="1" spans="1:14" ht="28.5" x14ac:dyDescent="0.35">
      <c r="B1" s="252" t="s">
        <v>449</v>
      </c>
      <c r="C1" s="245"/>
      <c r="D1" s="230"/>
    </row>
    <row r="2" spans="1:14" s="35" customFormat="1" ht="42" x14ac:dyDescent="0.35">
      <c r="A2" s="105" t="s">
        <v>1</v>
      </c>
      <c r="B2" s="248" t="s">
        <v>2</v>
      </c>
      <c r="C2" s="226" t="s">
        <v>450</v>
      </c>
      <c r="D2" s="226" t="s">
        <v>4</v>
      </c>
      <c r="E2" s="106" t="s">
        <v>451</v>
      </c>
      <c r="F2" s="106" t="s">
        <v>6</v>
      </c>
      <c r="G2" s="106" t="s">
        <v>452</v>
      </c>
      <c r="H2" s="105" t="s">
        <v>8</v>
      </c>
      <c r="I2" s="106" t="s">
        <v>453</v>
      </c>
      <c r="J2" s="105" t="s">
        <v>10</v>
      </c>
      <c r="K2" s="106" t="s">
        <v>11</v>
      </c>
      <c r="L2" s="106" t="s">
        <v>12</v>
      </c>
      <c r="M2" s="105" t="s">
        <v>13</v>
      </c>
      <c r="N2" s="107" t="s">
        <v>14</v>
      </c>
    </row>
    <row r="3" spans="1:14" s="35" customFormat="1" ht="147" x14ac:dyDescent="0.35">
      <c r="A3" s="56">
        <v>1</v>
      </c>
      <c r="B3" s="118" t="s">
        <v>454</v>
      </c>
      <c r="C3" s="227"/>
      <c r="D3" s="227" t="s">
        <v>455</v>
      </c>
      <c r="E3" s="57" t="s">
        <v>456</v>
      </c>
      <c r="F3" s="57" t="s">
        <v>373</v>
      </c>
      <c r="G3" s="58"/>
      <c r="H3" s="57" t="s">
        <v>457</v>
      </c>
      <c r="I3" s="57" t="s">
        <v>458</v>
      </c>
      <c r="J3" s="57" t="s">
        <v>459</v>
      </c>
      <c r="K3" s="57"/>
      <c r="L3" s="57" t="s">
        <v>460</v>
      </c>
      <c r="M3" s="57" t="s">
        <v>461</v>
      </c>
      <c r="N3" s="201" t="s">
        <v>462</v>
      </c>
    </row>
    <row r="4" spans="1:14" s="49" customFormat="1" ht="90" customHeight="1" x14ac:dyDescent="0.35">
      <c r="A4" s="56">
        <v>2</v>
      </c>
      <c r="B4" s="118" t="s">
        <v>463</v>
      </c>
      <c r="C4" s="227" t="s">
        <v>464</v>
      </c>
      <c r="D4" s="227" t="s">
        <v>455</v>
      </c>
      <c r="E4" s="57" t="s">
        <v>456</v>
      </c>
      <c r="F4" s="57" t="s">
        <v>373</v>
      </c>
      <c r="G4" s="58"/>
      <c r="H4" s="57" t="s">
        <v>457</v>
      </c>
      <c r="I4" s="57" t="s">
        <v>458</v>
      </c>
      <c r="J4" s="57" t="s">
        <v>465</v>
      </c>
      <c r="K4" s="57"/>
      <c r="L4" s="57" t="s">
        <v>460</v>
      </c>
      <c r="M4" s="57" t="s">
        <v>461</v>
      </c>
      <c r="N4" s="201" t="s">
        <v>466</v>
      </c>
    </row>
    <row r="5" spans="1:14" s="49" customFormat="1" ht="37.5" customHeight="1" x14ac:dyDescent="0.5">
      <c r="A5" s="56">
        <v>3</v>
      </c>
      <c r="B5" s="249" t="s">
        <v>467</v>
      </c>
      <c r="C5" s="228"/>
      <c r="D5" s="227" t="s">
        <v>455</v>
      </c>
      <c r="E5" s="89" t="s">
        <v>468</v>
      </c>
      <c r="F5" s="56"/>
      <c r="G5" s="90"/>
      <c r="H5" s="89"/>
      <c r="I5" s="90"/>
      <c r="J5" s="75" t="s">
        <v>469</v>
      </c>
      <c r="K5" s="66"/>
      <c r="L5" s="66"/>
      <c r="M5" s="56" t="s">
        <v>461</v>
      </c>
      <c r="N5" s="57" t="s">
        <v>470</v>
      </c>
    </row>
    <row r="6" spans="1:14" s="29" customFormat="1" ht="231" x14ac:dyDescent="0.5">
      <c r="A6" s="56">
        <v>4</v>
      </c>
      <c r="B6" s="249" t="s">
        <v>471</v>
      </c>
      <c r="C6" s="228"/>
      <c r="D6" s="227" t="s">
        <v>455</v>
      </c>
      <c r="E6" s="89" t="s">
        <v>472</v>
      </c>
      <c r="F6" s="56"/>
      <c r="G6" s="90"/>
      <c r="H6" s="89"/>
      <c r="I6" s="90"/>
      <c r="J6" s="91" t="s">
        <v>473</v>
      </c>
      <c r="K6" s="66"/>
      <c r="L6" s="66"/>
      <c r="M6" s="56" t="s">
        <v>461</v>
      </c>
      <c r="N6" s="57" t="s">
        <v>474</v>
      </c>
    </row>
    <row r="7" spans="1:14" ht="84" x14ac:dyDescent="0.35">
      <c r="A7" s="56">
        <v>5</v>
      </c>
      <c r="B7" s="249" t="s">
        <v>475</v>
      </c>
      <c r="C7" s="228">
        <v>314000000</v>
      </c>
      <c r="D7" s="227" t="s">
        <v>228</v>
      </c>
      <c r="E7" s="75" t="s">
        <v>476</v>
      </c>
      <c r="F7" s="75" t="s">
        <v>403</v>
      </c>
      <c r="G7" s="75" t="s">
        <v>477</v>
      </c>
      <c r="H7" s="75" t="s">
        <v>478</v>
      </c>
      <c r="I7" s="75"/>
      <c r="J7" s="136" t="s">
        <v>479</v>
      </c>
      <c r="K7" s="75"/>
      <c r="L7" s="97"/>
      <c r="M7" s="56" t="s">
        <v>461</v>
      </c>
      <c r="N7" s="97"/>
    </row>
    <row r="8" spans="1:14" ht="63" x14ac:dyDescent="0.5">
      <c r="A8" s="161">
        <v>3</v>
      </c>
      <c r="B8" s="291" t="s">
        <v>480</v>
      </c>
      <c r="C8" s="288">
        <v>120000000</v>
      </c>
      <c r="D8" s="190" t="s">
        <v>228</v>
      </c>
      <c r="E8" s="244" t="s">
        <v>164</v>
      </c>
      <c r="G8" s="190" t="s">
        <v>481</v>
      </c>
      <c r="J8" s="287" t="s">
        <v>482</v>
      </c>
    </row>
    <row r="21" spans="1:14" ht="21" x14ac:dyDescent="0.5">
      <c r="A21" s="170"/>
      <c r="B21" s="251"/>
      <c r="E21" s="190"/>
      <c r="F21" s="194"/>
    </row>
    <row r="22" spans="1:14" ht="21" x14ac:dyDescent="0.5">
      <c r="A22" s="194"/>
      <c r="B22" s="251"/>
      <c r="C22" s="247">
        <f>SUM(C3:C14)</f>
        <v>434000000</v>
      </c>
      <c r="D22" s="229"/>
      <c r="E22" s="194"/>
      <c r="F22" s="194"/>
      <c r="G22" s="194"/>
      <c r="H22" s="194"/>
      <c r="I22" s="194"/>
      <c r="J22" s="194"/>
      <c r="K22" s="194"/>
      <c r="L22" s="194"/>
      <c r="M22" s="190"/>
      <c r="N22" s="194"/>
    </row>
    <row r="23" spans="1:14" ht="21" x14ac:dyDescent="0.5">
      <c r="A23" s="194"/>
      <c r="B23" s="251"/>
      <c r="C23" s="229"/>
      <c r="D23" s="229"/>
      <c r="E23" s="194"/>
      <c r="F23" s="194"/>
      <c r="G23" s="194"/>
      <c r="H23" s="194"/>
      <c r="I23" s="194"/>
      <c r="J23" s="194"/>
      <c r="K23" s="194"/>
      <c r="L23" s="194"/>
      <c r="M23" s="190"/>
      <c r="N23" s="194"/>
    </row>
    <row r="24" spans="1:14" ht="21" x14ac:dyDescent="0.5">
      <c r="A24" s="194"/>
      <c r="B24" s="251"/>
      <c r="C24" s="229"/>
      <c r="D24" s="229"/>
      <c r="E24" s="194"/>
      <c r="F24" s="194"/>
      <c r="G24" s="194"/>
      <c r="H24" s="194"/>
      <c r="I24" s="194"/>
      <c r="J24" s="194"/>
      <c r="K24" s="194"/>
      <c r="L24" s="194"/>
      <c r="M24" s="190"/>
      <c r="N24" s="194"/>
    </row>
    <row r="25" spans="1:14" ht="21" x14ac:dyDescent="0.5">
      <c r="A25" s="194"/>
      <c r="B25" s="251"/>
      <c r="C25" s="229"/>
      <c r="D25" s="229"/>
      <c r="E25" s="194"/>
      <c r="F25" s="194"/>
      <c r="G25" s="194"/>
      <c r="H25" s="194"/>
      <c r="I25" s="194"/>
      <c r="J25" s="194"/>
      <c r="K25" s="194"/>
      <c r="L25" s="194"/>
      <c r="M25" s="190"/>
      <c r="N25" s="194"/>
    </row>
    <row r="26" spans="1:14" ht="21" x14ac:dyDescent="0.5">
      <c r="A26" s="194"/>
      <c r="B26" s="251"/>
      <c r="C26" s="229"/>
      <c r="D26" s="229"/>
      <c r="E26" s="194"/>
      <c r="F26" s="194"/>
      <c r="G26" s="194"/>
      <c r="H26" s="194"/>
      <c r="I26" s="194"/>
      <c r="J26" s="194"/>
      <c r="K26" s="194"/>
      <c r="L26" s="194"/>
      <c r="M26" s="190"/>
      <c r="N26" s="194"/>
    </row>
    <row r="27" spans="1:14" ht="21" x14ac:dyDescent="0.5">
      <c r="A27" s="194"/>
      <c r="B27" s="251"/>
      <c r="C27" s="229"/>
      <c r="D27" s="229"/>
      <c r="E27" s="194"/>
      <c r="F27" s="194"/>
      <c r="G27" s="194"/>
      <c r="H27" s="194"/>
      <c r="I27" s="194"/>
      <c r="J27" s="194"/>
      <c r="K27" s="194"/>
      <c r="L27" s="194"/>
      <c r="M27" s="190"/>
      <c r="N27" s="194"/>
    </row>
    <row r="28" spans="1:14" ht="21" x14ac:dyDescent="0.5">
      <c r="A28" s="194"/>
      <c r="B28" s="251"/>
      <c r="C28" s="229"/>
      <c r="D28" s="229"/>
      <c r="E28" s="194"/>
      <c r="F28" s="194"/>
      <c r="G28" s="194"/>
      <c r="H28" s="194"/>
      <c r="I28" s="194"/>
      <c r="J28" s="194"/>
      <c r="K28" s="194"/>
      <c r="L28" s="194"/>
      <c r="M28" s="190"/>
      <c r="N28" s="194"/>
    </row>
    <row r="29" spans="1:14" ht="21" x14ac:dyDescent="0.5">
      <c r="A29" s="194"/>
      <c r="B29" s="251"/>
      <c r="C29" s="229"/>
      <c r="D29" s="229"/>
      <c r="E29" s="194"/>
      <c r="F29" s="194"/>
      <c r="G29" s="194"/>
      <c r="H29" s="194"/>
      <c r="I29" s="194"/>
      <c r="J29" s="194"/>
      <c r="K29" s="194"/>
      <c r="L29" s="194"/>
      <c r="M29" s="190"/>
      <c r="N29" s="194"/>
    </row>
    <row r="30" spans="1:14" ht="21" x14ac:dyDescent="0.5">
      <c r="A30" s="194"/>
      <c r="B30" s="251"/>
      <c r="C30" s="229"/>
      <c r="D30" s="229"/>
      <c r="E30" s="194"/>
      <c r="F30" s="194"/>
      <c r="G30" s="194"/>
      <c r="H30" s="194"/>
      <c r="I30" s="194"/>
      <c r="J30" s="194"/>
      <c r="K30" s="194"/>
      <c r="L30" s="194"/>
      <c r="M30" s="190"/>
      <c r="N30" s="194"/>
    </row>
    <row r="31" spans="1:14" ht="21" x14ac:dyDescent="0.5">
      <c r="A31" s="194"/>
      <c r="B31" s="251"/>
      <c r="C31" s="229"/>
      <c r="D31" s="229"/>
      <c r="E31" s="194"/>
      <c r="F31" s="194"/>
      <c r="G31" s="194"/>
      <c r="H31" s="194"/>
      <c r="I31" s="194"/>
      <c r="J31" s="194"/>
      <c r="K31" s="194"/>
      <c r="L31" s="194"/>
      <c r="M31" s="190"/>
      <c r="N31" s="194"/>
    </row>
    <row r="32" spans="1:14" ht="21" x14ac:dyDescent="0.5">
      <c r="A32" s="194"/>
      <c r="B32" s="251"/>
      <c r="C32" s="229"/>
      <c r="D32" s="229"/>
      <c r="E32" s="194"/>
      <c r="F32" s="194"/>
      <c r="G32" s="194"/>
      <c r="H32" s="194"/>
      <c r="I32" s="194"/>
      <c r="J32" s="194"/>
      <c r="K32" s="194"/>
      <c r="L32" s="194"/>
      <c r="M32" s="190"/>
      <c r="N32" s="194"/>
    </row>
    <row r="33" spans="1:14" ht="21" x14ac:dyDescent="0.5">
      <c r="A33" s="194"/>
      <c r="B33" s="251"/>
      <c r="C33" s="229"/>
      <c r="D33" s="229"/>
      <c r="E33" s="194"/>
      <c r="F33" s="194"/>
      <c r="G33" s="194"/>
      <c r="H33" s="194"/>
      <c r="I33" s="194"/>
      <c r="J33" s="194"/>
      <c r="K33" s="194"/>
      <c r="L33" s="194"/>
      <c r="M33" s="190"/>
      <c r="N33" s="194"/>
    </row>
    <row r="34" spans="1:14" ht="21" x14ac:dyDescent="0.5">
      <c r="A34" s="194"/>
      <c r="B34" s="251"/>
      <c r="C34" s="229"/>
      <c r="D34" s="229"/>
      <c r="E34" s="194"/>
      <c r="F34" s="194"/>
      <c r="G34" s="194"/>
      <c r="H34" s="194"/>
      <c r="I34" s="194"/>
      <c r="J34" s="194"/>
      <c r="K34" s="194"/>
      <c r="L34" s="194"/>
      <c r="M34" s="190"/>
      <c r="N34" s="194"/>
    </row>
    <row r="35" spans="1:14" ht="21" x14ac:dyDescent="0.5">
      <c r="A35" s="194"/>
      <c r="B35" s="251"/>
      <c r="C35" s="229"/>
      <c r="D35" s="229"/>
      <c r="E35" s="194"/>
      <c r="F35" s="194"/>
      <c r="G35" s="194"/>
      <c r="H35" s="194"/>
      <c r="I35" s="194"/>
      <c r="J35" s="194"/>
      <c r="K35" s="194"/>
      <c r="L35" s="194"/>
      <c r="M35" s="190"/>
      <c r="N35" s="194"/>
    </row>
    <row r="36" spans="1:14" ht="21" x14ac:dyDescent="0.5">
      <c r="A36" s="194"/>
      <c r="B36" s="251"/>
      <c r="C36" s="229"/>
      <c r="D36" s="229"/>
      <c r="E36" s="194"/>
      <c r="F36" s="194"/>
      <c r="G36" s="194"/>
      <c r="H36" s="194"/>
      <c r="I36" s="194"/>
      <c r="J36" s="194"/>
      <c r="K36" s="194"/>
      <c r="L36" s="194"/>
      <c r="M36" s="190"/>
      <c r="N36" s="194"/>
    </row>
    <row r="37" spans="1:14" ht="21" x14ac:dyDescent="0.5">
      <c r="A37" s="194"/>
      <c r="B37" s="251"/>
      <c r="C37" s="229"/>
      <c r="D37" s="229"/>
      <c r="E37" s="194"/>
      <c r="F37" s="194"/>
      <c r="G37" s="194"/>
      <c r="H37" s="194"/>
      <c r="I37" s="194"/>
      <c r="J37" s="194"/>
      <c r="K37" s="194"/>
      <c r="L37" s="194"/>
      <c r="M37" s="190"/>
      <c r="N37" s="194"/>
    </row>
    <row r="38" spans="1:14" ht="21" x14ac:dyDescent="0.5">
      <c r="A38" s="194"/>
      <c r="B38" s="251"/>
      <c r="C38" s="229"/>
      <c r="D38" s="229"/>
      <c r="E38" s="194"/>
      <c r="F38" s="194"/>
      <c r="G38" s="194"/>
      <c r="H38" s="194"/>
      <c r="I38" s="194"/>
      <c r="J38" s="194"/>
      <c r="K38" s="194"/>
      <c r="L38" s="194"/>
      <c r="M38" s="190"/>
      <c r="N38" s="194"/>
    </row>
    <row r="39" spans="1:14" ht="21" x14ac:dyDescent="0.5">
      <c r="A39" s="194"/>
      <c r="B39" s="251"/>
      <c r="C39" s="229"/>
      <c r="D39" s="229"/>
      <c r="E39" s="194"/>
      <c r="F39" s="194"/>
      <c r="G39" s="194"/>
      <c r="H39" s="194"/>
      <c r="I39" s="194"/>
      <c r="J39" s="194"/>
      <c r="K39" s="194"/>
      <c r="L39" s="194"/>
      <c r="M39" s="190"/>
      <c r="N39" s="194"/>
    </row>
    <row r="40" spans="1:14" ht="21" x14ac:dyDescent="0.5">
      <c r="A40" s="194"/>
      <c r="B40" s="251"/>
      <c r="C40" s="229"/>
      <c r="D40" s="229"/>
      <c r="E40" s="194"/>
      <c r="F40" s="194"/>
      <c r="G40" s="194"/>
      <c r="H40" s="194"/>
      <c r="I40" s="194"/>
      <c r="J40" s="194"/>
      <c r="K40" s="194"/>
      <c r="L40" s="194"/>
      <c r="M40" s="190"/>
      <c r="N40" s="194"/>
    </row>
    <row r="41" spans="1:14" ht="21" x14ac:dyDescent="0.5">
      <c r="A41" s="194"/>
      <c r="B41" s="251"/>
      <c r="C41" s="229"/>
      <c r="D41" s="229"/>
      <c r="E41" s="194"/>
      <c r="F41" s="194"/>
      <c r="G41" s="194"/>
      <c r="H41" s="194"/>
      <c r="I41" s="194"/>
      <c r="J41" s="194"/>
      <c r="K41" s="194"/>
      <c r="L41" s="194"/>
      <c r="M41" s="190"/>
      <c r="N41" s="194"/>
    </row>
    <row r="42" spans="1:14" ht="21" x14ac:dyDescent="0.5">
      <c r="A42" s="194"/>
      <c r="B42" s="251"/>
      <c r="C42" s="229"/>
      <c r="D42" s="229"/>
      <c r="E42" s="194"/>
      <c r="F42" s="194"/>
      <c r="G42" s="194"/>
      <c r="H42" s="194"/>
      <c r="I42" s="194"/>
      <c r="J42" s="194"/>
      <c r="K42" s="194"/>
      <c r="L42" s="194"/>
      <c r="M42" s="190"/>
      <c r="N42" s="194"/>
    </row>
    <row r="43" spans="1:14" ht="21" x14ac:dyDescent="0.5">
      <c r="A43" s="194"/>
      <c r="B43" s="251"/>
      <c r="C43" s="229"/>
      <c r="D43" s="229"/>
      <c r="E43" s="194"/>
      <c r="F43" s="194"/>
      <c r="G43" s="194"/>
      <c r="H43" s="194"/>
      <c r="I43" s="194"/>
      <c r="J43" s="194"/>
      <c r="K43" s="194"/>
      <c r="L43" s="194"/>
      <c r="M43" s="190"/>
      <c r="N43" s="194"/>
    </row>
    <row r="44" spans="1:14" ht="21" x14ac:dyDescent="0.5">
      <c r="A44" s="194"/>
      <c r="B44" s="251"/>
      <c r="C44" s="229"/>
      <c r="D44" s="229"/>
      <c r="E44" s="194"/>
      <c r="F44" s="194"/>
      <c r="G44" s="194"/>
      <c r="H44" s="194"/>
      <c r="I44" s="194"/>
      <c r="J44" s="194"/>
      <c r="K44" s="194"/>
      <c r="L44" s="194"/>
      <c r="M44" s="190"/>
      <c r="N44" s="194"/>
    </row>
    <row r="45" spans="1:14" ht="21" x14ac:dyDescent="0.5">
      <c r="A45" s="194"/>
      <c r="B45" s="251"/>
      <c r="C45" s="229"/>
      <c r="D45" s="229"/>
      <c r="E45" s="194"/>
      <c r="F45" s="194"/>
      <c r="G45" s="194"/>
      <c r="H45" s="194"/>
      <c r="I45" s="194"/>
      <c r="J45" s="194"/>
      <c r="K45" s="194"/>
      <c r="L45" s="194"/>
      <c r="M45" s="190"/>
      <c r="N45" s="194"/>
    </row>
    <row r="46" spans="1:14" ht="21" x14ac:dyDescent="0.5">
      <c r="A46" s="194"/>
      <c r="B46" s="251"/>
      <c r="C46" s="229"/>
      <c r="D46" s="229"/>
      <c r="E46" s="194"/>
      <c r="F46" s="194"/>
      <c r="G46" s="194"/>
      <c r="H46" s="194"/>
      <c r="I46" s="194"/>
      <c r="J46" s="194"/>
      <c r="K46" s="194"/>
      <c r="L46" s="194"/>
      <c r="M46" s="190"/>
      <c r="N46" s="194"/>
    </row>
    <row r="47" spans="1:14" ht="21" x14ac:dyDescent="0.5">
      <c r="A47" s="194"/>
      <c r="B47" s="251"/>
      <c r="C47" s="229"/>
      <c r="D47" s="229"/>
      <c r="E47" s="194"/>
      <c r="F47" s="194"/>
      <c r="G47" s="194"/>
      <c r="H47" s="194"/>
      <c r="I47" s="194"/>
      <c r="J47" s="194"/>
      <c r="K47" s="194"/>
      <c r="L47" s="194"/>
      <c r="M47" s="190"/>
      <c r="N47" s="194"/>
    </row>
    <row r="48" spans="1:14" ht="21" x14ac:dyDescent="0.5">
      <c r="A48" s="194"/>
      <c r="B48" s="251"/>
      <c r="C48" s="229"/>
      <c r="D48" s="229"/>
      <c r="E48" s="194"/>
      <c r="F48" s="194"/>
      <c r="G48" s="194"/>
      <c r="H48" s="194"/>
      <c r="I48" s="194"/>
      <c r="J48" s="194"/>
      <c r="K48" s="194"/>
      <c r="L48" s="194"/>
      <c r="M48" s="190"/>
      <c r="N48" s="194"/>
    </row>
    <row r="49" spans="1:14" ht="21" x14ac:dyDescent="0.5">
      <c r="A49" s="194"/>
      <c r="B49" s="251"/>
      <c r="C49" s="229"/>
      <c r="D49" s="229"/>
      <c r="E49" s="194"/>
      <c r="F49" s="194"/>
      <c r="G49" s="194"/>
      <c r="H49" s="194"/>
      <c r="I49" s="194"/>
      <c r="J49" s="194"/>
      <c r="K49" s="194"/>
      <c r="L49" s="194"/>
      <c r="M49" s="190"/>
      <c r="N49" s="194"/>
    </row>
    <row r="50" spans="1:14" ht="21" x14ac:dyDescent="0.5">
      <c r="A50" s="194"/>
      <c r="B50" s="251"/>
      <c r="C50" s="229"/>
      <c r="D50" s="229"/>
      <c r="E50" s="194"/>
      <c r="F50" s="194"/>
      <c r="G50" s="194"/>
      <c r="H50" s="194"/>
      <c r="I50" s="194"/>
      <c r="J50" s="194"/>
      <c r="K50" s="194"/>
      <c r="L50" s="194"/>
      <c r="M50" s="190"/>
      <c r="N50" s="194"/>
    </row>
    <row r="51" spans="1:14" ht="21" x14ac:dyDescent="0.5">
      <c r="A51" s="194"/>
      <c r="B51" s="251"/>
      <c r="C51" s="229"/>
      <c r="D51" s="229"/>
      <c r="E51" s="194"/>
      <c r="F51" s="194"/>
      <c r="G51" s="194"/>
      <c r="H51" s="194"/>
      <c r="I51" s="194"/>
      <c r="J51" s="194"/>
      <c r="K51" s="194"/>
      <c r="L51" s="194"/>
      <c r="M51" s="190"/>
      <c r="N51" s="194"/>
    </row>
  </sheetData>
  <autoFilter ref="A2:N22" xr:uid="{00000000-0009-0000-0000-000002000000}"/>
  <conditionalFormatting sqref="A3:N7 A21 E21:F21 A22:N1048576">
    <cfRule type="expression" dxfId="14" priority="5">
      <formula>$A3&lt;&gt;""</formula>
    </cfRule>
  </conditionalFormatting>
  <pageMargins left="0.70866141732283472" right="0.70866141732283472" top="0.74803149606299213" bottom="0.74803149606299213" header="0.31496062992125984" footer="0.31496062992125984"/>
  <pageSetup paperSize="8" scale="48"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view="pageBreakPreview" zoomScale="64" zoomScaleNormal="70" zoomScaleSheetLayoutView="80" workbookViewId="0">
      <pane xSplit="3" ySplit="2" topLeftCell="D121" activePane="bottomRight" state="frozen"/>
      <selection pane="topRight" activeCell="D1" sqref="D1"/>
      <selection pane="bottomLeft" activeCell="A2" sqref="A2"/>
      <selection pane="bottomRight" activeCell="J19" sqref="J19"/>
    </sheetView>
  </sheetViews>
  <sheetFormatPr defaultColWidth="9.1796875" defaultRowHeight="14.5" x14ac:dyDescent="0.35"/>
  <cols>
    <col min="1" max="1" width="5.453125" style="16" customWidth="1"/>
    <col min="2" max="2" width="42.453125" style="16" bestFit="1" customWidth="1"/>
    <col min="3" max="3" width="32.1796875" style="28" customWidth="1"/>
    <col min="4" max="4" width="30.453125" style="28" bestFit="1" customWidth="1"/>
    <col min="5" max="5" width="23.81640625" style="28" hidden="1" customWidth="1"/>
    <col min="6" max="6" width="47.54296875" style="28" bestFit="1" customWidth="1"/>
    <col min="7" max="7" width="24.81640625" style="28" hidden="1" customWidth="1"/>
    <col min="8" max="8" width="48.1796875" style="28" customWidth="1"/>
    <col min="9" max="9" width="24.1796875" style="28" customWidth="1"/>
    <col min="10" max="10" width="30" style="28" bestFit="1" customWidth="1"/>
    <col min="11" max="11" width="10.54296875" style="16" bestFit="1" customWidth="1"/>
    <col min="12" max="12" width="57.453125" style="16" bestFit="1" customWidth="1"/>
    <col min="13" max="13" width="19.453125" style="16" customWidth="1"/>
    <col min="14" max="16384" width="9.1796875" style="16"/>
  </cols>
  <sheetData>
    <row r="1" spans="1:13" ht="31" x14ac:dyDescent="0.35">
      <c r="B1" s="176" t="s">
        <v>483</v>
      </c>
    </row>
    <row r="2" spans="1:13" s="167" customFormat="1" ht="34.5" customHeight="1" x14ac:dyDescent="0.35">
      <c r="A2" s="105" t="s">
        <v>1</v>
      </c>
      <c r="B2" s="105" t="s">
        <v>2</v>
      </c>
      <c r="C2" s="106" t="s">
        <v>451</v>
      </c>
      <c r="D2" s="106" t="s">
        <v>6</v>
      </c>
      <c r="E2" s="106" t="s">
        <v>452</v>
      </c>
      <c r="F2" s="106" t="s">
        <v>484</v>
      </c>
      <c r="G2" s="106" t="s">
        <v>453</v>
      </c>
      <c r="H2" s="106" t="s">
        <v>10</v>
      </c>
      <c r="I2" s="106" t="s">
        <v>11</v>
      </c>
      <c r="J2" s="106" t="s">
        <v>12</v>
      </c>
      <c r="K2" s="105" t="s">
        <v>13</v>
      </c>
      <c r="L2" s="107" t="s">
        <v>14</v>
      </c>
    </row>
    <row r="3" spans="1:13" s="35" customFormat="1" ht="147" x14ac:dyDescent="0.35">
      <c r="A3" s="56">
        <v>1</v>
      </c>
      <c r="B3" s="57" t="s">
        <v>485</v>
      </c>
      <c r="C3" s="57" t="s">
        <v>486</v>
      </c>
      <c r="D3" s="57" t="s">
        <v>487</v>
      </c>
      <c r="E3" s="58" t="s">
        <v>488</v>
      </c>
      <c r="F3" s="57" t="s">
        <v>489</v>
      </c>
      <c r="G3" s="57"/>
      <c r="H3" s="57" t="s">
        <v>490</v>
      </c>
      <c r="I3" s="57" t="s">
        <v>491</v>
      </c>
      <c r="J3" s="57" t="s">
        <v>492</v>
      </c>
      <c r="K3" s="57" t="s">
        <v>461</v>
      </c>
      <c r="L3" s="59" t="s">
        <v>493</v>
      </c>
      <c r="M3" s="72"/>
    </row>
    <row r="4" spans="1:13" s="35" customFormat="1" ht="168" x14ac:dyDescent="0.35">
      <c r="A4" s="56">
        <v>2</v>
      </c>
      <c r="B4" s="57" t="s">
        <v>494</v>
      </c>
      <c r="C4" s="57" t="s">
        <v>486</v>
      </c>
      <c r="D4" s="57" t="s">
        <v>373</v>
      </c>
      <c r="E4" s="58"/>
      <c r="F4" s="57" t="s">
        <v>495</v>
      </c>
      <c r="G4" s="57"/>
      <c r="H4" s="57" t="s">
        <v>496</v>
      </c>
      <c r="I4" s="57" t="s">
        <v>497</v>
      </c>
      <c r="J4" s="57" t="s">
        <v>498</v>
      </c>
      <c r="K4" s="57" t="s">
        <v>461</v>
      </c>
      <c r="L4" s="59" t="s">
        <v>499</v>
      </c>
    </row>
    <row r="5" spans="1:13" s="35" customFormat="1" ht="63" x14ac:dyDescent="0.35">
      <c r="A5" s="56">
        <v>3</v>
      </c>
      <c r="B5" s="57" t="s">
        <v>500</v>
      </c>
      <c r="C5" s="57" t="s">
        <v>501</v>
      </c>
      <c r="D5" s="57" t="s">
        <v>373</v>
      </c>
      <c r="E5" s="58"/>
      <c r="F5" s="57" t="s">
        <v>502</v>
      </c>
      <c r="G5" s="57" t="s">
        <v>503</v>
      </c>
      <c r="H5" s="57"/>
      <c r="I5" s="57"/>
      <c r="J5" s="57" t="s">
        <v>504</v>
      </c>
      <c r="K5" s="57" t="s">
        <v>461</v>
      </c>
      <c r="L5" s="160" t="s">
        <v>505</v>
      </c>
    </row>
    <row r="6" spans="1:13" s="35" customFormat="1" ht="63" x14ac:dyDescent="0.35">
      <c r="A6" s="56">
        <v>4</v>
      </c>
      <c r="B6" s="57" t="s">
        <v>506</v>
      </c>
      <c r="C6" s="57" t="s">
        <v>501</v>
      </c>
      <c r="D6" s="57" t="s">
        <v>507</v>
      </c>
      <c r="E6" s="58"/>
      <c r="F6" s="57" t="s">
        <v>502</v>
      </c>
      <c r="G6" s="57" t="s">
        <v>508</v>
      </c>
      <c r="H6" s="57"/>
      <c r="I6" s="57"/>
      <c r="J6" s="57" t="s">
        <v>504</v>
      </c>
      <c r="K6" s="57" t="s">
        <v>461</v>
      </c>
      <c r="L6" s="160" t="s">
        <v>509</v>
      </c>
    </row>
    <row r="7" spans="1:13" s="161" customFormat="1" ht="105" x14ac:dyDescent="0.35">
      <c r="A7" s="56">
        <v>5</v>
      </c>
      <c r="B7" s="60" t="s">
        <v>510</v>
      </c>
      <c r="C7" s="97" t="s">
        <v>511</v>
      </c>
      <c r="D7" s="97" t="s">
        <v>403</v>
      </c>
      <c r="E7" s="61"/>
      <c r="F7" s="61"/>
      <c r="G7" s="61"/>
      <c r="H7" s="61"/>
      <c r="I7" s="61"/>
      <c r="J7" s="61"/>
      <c r="K7" s="63"/>
      <c r="L7" s="166" t="s">
        <v>512</v>
      </c>
    </row>
    <row r="8" spans="1:13" s="161" customFormat="1" ht="21" x14ac:dyDescent="0.35">
      <c r="A8" s="56">
        <v>6</v>
      </c>
      <c r="B8" s="60" t="s">
        <v>513</v>
      </c>
      <c r="C8" s="97" t="s">
        <v>514</v>
      </c>
      <c r="D8" s="97" t="s">
        <v>403</v>
      </c>
      <c r="E8" s="61"/>
      <c r="F8" s="61"/>
      <c r="G8" s="61"/>
      <c r="H8" s="61"/>
      <c r="I8" s="61"/>
      <c r="J8" s="61"/>
      <c r="K8" s="63"/>
      <c r="L8" s="162" t="s">
        <v>515</v>
      </c>
    </row>
    <row r="9" spans="1:13" s="161" customFormat="1" ht="42" x14ac:dyDescent="0.35">
      <c r="A9" s="56">
        <v>7</v>
      </c>
      <c r="B9" s="60" t="s">
        <v>516</v>
      </c>
      <c r="C9" s="97" t="s">
        <v>517</v>
      </c>
      <c r="D9" s="97"/>
      <c r="E9" s="61"/>
      <c r="F9" s="61"/>
      <c r="G9" s="61"/>
      <c r="H9" s="61"/>
      <c r="I9" s="61"/>
      <c r="J9" s="61"/>
      <c r="K9" s="63"/>
      <c r="L9" s="163" t="s">
        <v>518</v>
      </c>
    </row>
    <row r="10" spans="1:13" s="49" customFormat="1" ht="63" x14ac:dyDescent="0.35">
      <c r="A10" s="56">
        <v>8</v>
      </c>
      <c r="B10" s="57" t="s">
        <v>519</v>
      </c>
      <c r="C10" s="57" t="s">
        <v>520</v>
      </c>
      <c r="D10" s="57" t="s">
        <v>373</v>
      </c>
      <c r="E10" s="58"/>
      <c r="F10" s="57" t="s">
        <v>521</v>
      </c>
      <c r="G10" s="57" t="s">
        <v>522</v>
      </c>
      <c r="H10" s="57" t="s">
        <v>228</v>
      </c>
      <c r="I10" s="57"/>
      <c r="J10" s="57" t="s">
        <v>523</v>
      </c>
      <c r="K10" s="56" t="s">
        <v>461</v>
      </c>
      <c r="L10" s="164" t="s">
        <v>524</v>
      </c>
    </row>
    <row r="11" spans="1:13" s="49" customFormat="1" ht="42" x14ac:dyDescent="0.35">
      <c r="A11" s="56">
        <v>9</v>
      </c>
      <c r="B11" s="57" t="s">
        <v>525</v>
      </c>
      <c r="C11" s="57" t="s">
        <v>520</v>
      </c>
      <c r="D11" s="57" t="s">
        <v>373</v>
      </c>
      <c r="E11" s="58"/>
      <c r="F11" s="57"/>
      <c r="G11" s="57"/>
      <c r="H11" s="57"/>
      <c r="I11" s="57"/>
      <c r="J11" s="57" t="s">
        <v>523</v>
      </c>
      <c r="K11" s="56" t="s">
        <v>461</v>
      </c>
      <c r="L11" s="164" t="s">
        <v>526</v>
      </c>
    </row>
    <row r="12" spans="1:13" s="49" customFormat="1" ht="42" x14ac:dyDescent="0.35">
      <c r="A12" s="56">
        <v>10</v>
      </c>
      <c r="B12" s="57" t="s">
        <v>527</v>
      </c>
      <c r="C12" s="57" t="s">
        <v>520</v>
      </c>
      <c r="D12" s="57"/>
      <c r="E12" s="58"/>
      <c r="F12" s="57"/>
      <c r="G12" s="57"/>
      <c r="H12" s="57"/>
      <c r="I12" s="57"/>
      <c r="J12" s="57" t="s">
        <v>523</v>
      </c>
      <c r="K12" s="56" t="s">
        <v>461</v>
      </c>
      <c r="L12" s="164" t="s">
        <v>528</v>
      </c>
    </row>
    <row r="13" spans="1:13" s="49" customFormat="1" ht="63" x14ac:dyDescent="0.35">
      <c r="A13" s="56">
        <v>11</v>
      </c>
      <c r="B13" s="57" t="s">
        <v>529</v>
      </c>
      <c r="C13" s="57" t="s">
        <v>530</v>
      </c>
      <c r="D13" s="57" t="s">
        <v>531</v>
      </c>
      <c r="E13" s="58"/>
      <c r="F13" s="66" t="s">
        <v>532</v>
      </c>
      <c r="G13" s="57"/>
      <c r="H13" s="57" t="s">
        <v>533</v>
      </c>
      <c r="I13" s="57" t="s">
        <v>458</v>
      </c>
      <c r="J13" s="57"/>
      <c r="K13" s="56" t="s">
        <v>461</v>
      </c>
      <c r="L13" s="164" t="s">
        <v>534</v>
      </c>
    </row>
    <row r="14" spans="1:13" s="49" customFormat="1" ht="147" x14ac:dyDescent="0.35">
      <c r="A14" s="56">
        <v>12</v>
      </c>
      <c r="B14" s="57" t="s">
        <v>535</v>
      </c>
      <c r="C14" s="57" t="s">
        <v>536</v>
      </c>
      <c r="D14" s="57" t="s">
        <v>403</v>
      </c>
      <c r="E14" s="58" t="s">
        <v>537</v>
      </c>
      <c r="F14" s="57"/>
      <c r="G14" s="57"/>
      <c r="H14" s="57"/>
      <c r="I14" s="57"/>
      <c r="K14" s="56" t="s">
        <v>538</v>
      </c>
      <c r="L14" s="165" t="s">
        <v>539</v>
      </c>
    </row>
    <row r="15" spans="1:13" s="49" customFormat="1" ht="63" x14ac:dyDescent="0.5">
      <c r="A15" s="56">
        <v>13</v>
      </c>
      <c r="B15" s="74" t="s">
        <v>540</v>
      </c>
      <c r="C15" s="89" t="s">
        <v>541</v>
      </c>
      <c r="D15" s="56"/>
      <c r="E15" s="90"/>
      <c r="F15" s="89"/>
      <c r="G15" s="127"/>
      <c r="H15" s="130" t="s">
        <v>542</v>
      </c>
      <c r="I15" s="66"/>
      <c r="J15" s="66"/>
      <c r="K15" s="56" t="s">
        <v>543</v>
      </c>
      <c r="L15" s="118" t="s">
        <v>544</v>
      </c>
    </row>
    <row r="16" spans="1:13" s="29" customFormat="1" ht="42" x14ac:dyDescent="0.35">
      <c r="A16" s="56">
        <v>14</v>
      </c>
      <c r="B16" s="75" t="s">
        <v>545</v>
      </c>
      <c r="C16" s="75" t="s">
        <v>546</v>
      </c>
      <c r="D16" s="75" t="s">
        <v>403</v>
      </c>
      <c r="E16" s="75"/>
      <c r="F16" s="75"/>
      <c r="G16" s="75"/>
      <c r="H16" s="136" t="s">
        <v>547</v>
      </c>
      <c r="I16" s="75"/>
      <c r="J16" s="97"/>
      <c r="K16" s="56" t="s">
        <v>543</v>
      </c>
      <c r="L16" s="200" t="s">
        <v>548</v>
      </c>
    </row>
    <row r="17" spans="1:12" s="49" customFormat="1" ht="84" x14ac:dyDescent="0.35">
      <c r="A17" s="56">
        <v>15</v>
      </c>
      <c r="B17" s="75" t="s">
        <v>549</v>
      </c>
      <c r="C17" s="75" t="s">
        <v>550</v>
      </c>
      <c r="D17" s="75" t="s">
        <v>551</v>
      </c>
      <c r="E17" s="75"/>
      <c r="F17" s="75"/>
      <c r="G17" s="75"/>
      <c r="H17" s="136"/>
      <c r="I17" s="75"/>
      <c r="J17" s="57"/>
      <c r="K17" s="56" t="s">
        <v>543</v>
      </c>
      <c r="L17" s="195" t="s">
        <v>552</v>
      </c>
    </row>
    <row r="18" spans="1:12" s="29" customFormat="1" ht="42" x14ac:dyDescent="0.35">
      <c r="A18" s="56">
        <v>16</v>
      </c>
      <c r="B18" s="75" t="s">
        <v>553</v>
      </c>
      <c r="C18" s="75" t="s">
        <v>554</v>
      </c>
      <c r="D18" s="75" t="s">
        <v>555</v>
      </c>
      <c r="E18" s="75"/>
      <c r="F18" s="75"/>
      <c r="G18" s="75"/>
      <c r="H18" s="136"/>
      <c r="I18" s="75"/>
      <c r="J18" s="97"/>
      <c r="K18" s="56"/>
      <c r="L18" s="166" t="s">
        <v>556</v>
      </c>
    </row>
    <row r="19" spans="1:12" s="29" customFormat="1" ht="21" x14ac:dyDescent="0.35">
      <c r="A19" s="56">
        <v>17</v>
      </c>
      <c r="J19" s="29" t="s">
        <v>557</v>
      </c>
    </row>
    <row r="20" spans="1:12" s="29" customFormat="1" ht="21" x14ac:dyDescent="0.35">
      <c r="A20" s="56">
        <v>18</v>
      </c>
    </row>
    <row r="21" spans="1:12" s="29" customFormat="1" ht="21" x14ac:dyDescent="0.35">
      <c r="A21" s="60"/>
      <c r="B21" s="62"/>
      <c r="C21" s="61" t="s">
        <v>558</v>
      </c>
      <c r="D21" s="61"/>
      <c r="E21" s="69"/>
      <c r="F21" s="61"/>
      <c r="G21" s="61"/>
      <c r="H21" s="61"/>
      <c r="I21" s="61"/>
      <c r="J21" s="61"/>
      <c r="K21" s="63"/>
      <c r="L21" s="60"/>
    </row>
    <row r="22" spans="1:12" s="29" customFormat="1" ht="21" x14ac:dyDescent="0.35">
      <c r="A22" s="60"/>
      <c r="B22" s="64"/>
      <c r="C22" s="61" t="s">
        <v>559</v>
      </c>
      <c r="D22" s="61"/>
      <c r="E22" s="61"/>
      <c r="F22" s="61"/>
      <c r="G22" s="61"/>
      <c r="H22" s="61"/>
      <c r="I22" s="61"/>
      <c r="J22" s="61"/>
      <c r="K22" s="63"/>
      <c r="L22" s="60"/>
    </row>
    <row r="23" spans="1:12" ht="21" x14ac:dyDescent="0.35">
      <c r="A23" s="60"/>
      <c r="B23" s="65"/>
      <c r="C23" s="61" t="s">
        <v>560</v>
      </c>
      <c r="D23" s="61"/>
      <c r="E23" s="61"/>
      <c r="F23" s="61"/>
      <c r="G23" s="61"/>
      <c r="H23" s="61"/>
      <c r="I23" s="61"/>
    </row>
  </sheetData>
  <conditionalFormatting sqref="A3:L18 A19:A20 A21:L1048576">
    <cfRule type="expression" dxfId="13" priority="1">
      <formula>$A3&lt;&gt;""</formula>
    </cfRule>
  </conditionalFormatting>
  <printOptions horizontalCentered="1" verticalCentered="1"/>
  <pageMargins left="0.19685039370078741" right="0.19685039370078741" top="0" bottom="0" header="3.937007874015748E-2" footer="3.937007874015748E-2"/>
  <pageSetup paperSize="8" scale="50" fitToHeight="0" orientation="landscape" horizontalDpi="360" verticalDpi="360" r:id="rId1"/>
  <rowBreaks count="1" manualBreakCount="1">
    <brk id="28"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5"/>
  <sheetViews>
    <sheetView topLeftCell="B1" zoomScaleNormal="100" zoomScaleSheetLayoutView="90" workbookViewId="0">
      <pane xSplit="2" ySplit="2" topLeftCell="D3" activePane="bottomRight" state="frozen"/>
      <selection pane="topRight" activeCell="C1" sqref="C1"/>
      <selection pane="bottomLeft" activeCell="B4" sqref="B4"/>
      <selection pane="bottomRight" activeCell="E6" sqref="E6"/>
    </sheetView>
  </sheetViews>
  <sheetFormatPr defaultColWidth="8.54296875" defaultRowHeight="14.5" x14ac:dyDescent="0.35"/>
  <cols>
    <col min="1" max="1" width="7.54296875" style="32" bestFit="1" customWidth="1"/>
    <col min="2" max="2" width="4" style="67" bestFit="1" customWidth="1"/>
    <col min="3" max="3" width="60.81640625" style="209" bestFit="1" customWidth="1"/>
    <col min="4" max="4" width="12.453125" style="210" bestFit="1" customWidth="1"/>
    <col min="5" max="5" width="26.1796875" style="211" customWidth="1"/>
    <col min="6" max="6" width="39.1796875" style="211" bestFit="1" customWidth="1"/>
    <col min="7" max="7" width="16.81640625" style="211" customWidth="1"/>
    <col min="8" max="8" width="66" style="209" bestFit="1" customWidth="1"/>
    <col min="9" max="9" width="17.54296875" style="209" bestFit="1" customWidth="1"/>
    <col min="10" max="10" width="26.1796875" style="209" customWidth="1"/>
    <col min="11" max="16384" width="8.54296875" style="32"/>
  </cols>
  <sheetData>
    <row r="1" spans="1:14" ht="45.75" customHeight="1" x14ac:dyDescent="0.35">
      <c r="B1" s="572" t="s">
        <v>561</v>
      </c>
      <c r="C1" s="572"/>
      <c r="D1" s="572"/>
      <c r="E1" s="572"/>
      <c r="F1" s="572"/>
      <c r="G1" s="572"/>
      <c r="H1" s="572"/>
      <c r="I1" s="572"/>
      <c r="J1" s="572"/>
    </row>
    <row r="2" spans="1:14" s="123" customFormat="1" ht="27.75" customHeight="1" x14ac:dyDescent="0.45">
      <c r="A2" s="122" t="s">
        <v>1</v>
      </c>
      <c r="B2" s="124" t="s">
        <v>1</v>
      </c>
      <c r="C2" s="124" t="s">
        <v>2</v>
      </c>
      <c r="D2" s="124" t="s">
        <v>6</v>
      </c>
      <c r="E2" s="125" t="s">
        <v>562</v>
      </c>
      <c r="F2" s="125" t="s">
        <v>563</v>
      </c>
      <c r="G2" s="125" t="s">
        <v>13</v>
      </c>
      <c r="H2" s="124" t="s">
        <v>564</v>
      </c>
      <c r="I2" s="124" t="s">
        <v>565</v>
      </c>
      <c r="J2" s="124" t="s">
        <v>14</v>
      </c>
    </row>
    <row r="3" spans="1:14" s="70" customFormat="1" ht="18.5" x14ac:dyDescent="0.35">
      <c r="A3" s="36"/>
      <c r="B3" s="110">
        <v>1</v>
      </c>
      <c r="C3" s="153"/>
      <c r="D3" s="110"/>
      <c r="E3" s="187"/>
      <c r="F3" s="189"/>
      <c r="G3" s="112"/>
      <c r="H3" s="127"/>
      <c r="I3" s="109"/>
      <c r="J3" s="126"/>
    </row>
    <row r="4" spans="1:14" s="70" customFormat="1" ht="18.5" x14ac:dyDescent="0.35">
      <c r="A4" s="36"/>
      <c r="B4" s="110">
        <v>2</v>
      </c>
      <c r="C4" s="153"/>
      <c r="D4" s="110"/>
      <c r="E4" s="187"/>
      <c r="F4" s="152"/>
      <c r="G4" s="112"/>
      <c r="H4" s="153"/>
      <c r="I4" s="109"/>
      <c r="J4" s="126"/>
    </row>
    <row r="5" spans="1:14" s="49" customFormat="1" ht="18.5" x14ac:dyDescent="0.35">
      <c r="A5" s="23">
        <v>26</v>
      </c>
      <c r="B5" s="110">
        <v>3</v>
      </c>
      <c r="C5" s="208"/>
      <c r="D5" s="110"/>
      <c r="E5" s="187"/>
      <c r="F5" s="108"/>
      <c r="G5" s="112"/>
      <c r="H5" s="168"/>
      <c r="I5" s="111"/>
      <c r="J5" s="98"/>
      <c r="K5" s="72"/>
      <c r="L5" s="72"/>
      <c r="M5" s="72"/>
      <c r="N5" s="73"/>
    </row>
    <row r="6" spans="1:14" s="49" customFormat="1" ht="18.5" x14ac:dyDescent="0.35">
      <c r="A6" s="23">
        <v>27</v>
      </c>
      <c r="B6" s="110">
        <v>4</v>
      </c>
      <c r="C6" s="208"/>
      <c r="D6" s="110"/>
      <c r="E6" s="187"/>
      <c r="F6" s="108"/>
      <c r="G6" s="112"/>
      <c r="H6" s="168"/>
      <c r="I6" s="111"/>
      <c r="J6" s="98"/>
      <c r="K6" s="72"/>
      <c r="L6" s="72"/>
      <c r="M6" s="72"/>
      <c r="N6" s="73"/>
    </row>
    <row r="7" spans="1:14" ht="18.5" x14ac:dyDescent="0.35">
      <c r="A7" s="67"/>
      <c r="B7" s="110">
        <v>5</v>
      </c>
      <c r="C7" s="153"/>
      <c r="D7" s="110"/>
      <c r="E7" s="187"/>
      <c r="F7" s="119"/>
      <c r="G7" s="119"/>
      <c r="H7" s="212"/>
      <c r="I7" s="213"/>
      <c r="J7" s="50"/>
    </row>
    <row r="8" spans="1:14" ht="18.5" x14ac:dyDescent="0.35">
      <c r="A8" s="67"/>
      <c r="B8" s="110">
        <v>6</v>
      </c>
      <c r="C8" s="172"/>
      <c r="D8" s="110"/>
      <c r="E8" s="187"/>
      <c r="F8" s="119"/>
      <c r="G8" s="119"/>
      <c r="H8" s="172"/>
      <c r="I8" s="213"/>
      <c r="J8" s="50"/>
    </row>
    <row r="9" spans="1:14" ht="18.5" x14ac:dyDescent="0.35">
      <c r="A9" s="67"/>
      <c r="B9" s="110">
        <v>7</v>
      </c>
      <c r="C9" s="172"/>
      <c r="D9" s="110"/>
      <c r="E9" s="187"/>
      <c r="F9" s="119"/>
      <c r="G9" s="119"/>
      <c r="H9" s="172"/>
      <c r="I9" s="135"/>
      <c r="J9" s="120"/>
    </row>
    <row r="10" spans="1:14" ht="18.5" x14ac:dyDescent="0.35">
      <c r="A10" s="67"/>
      <c r="B10" s="110">
        <v>8</v>
      </c>
      <c r="C10" s="159"/>
      <c r="D10" s="110"/>
      <c r="E10" s="187"/>
      <c r="F10" s="119"/>
      <c r="G10" s="119"/>
      <c r="H10" s="159"/>
      <c r="I10" s="135"/>
      <c r="J10" s="171"/>
    </row>
    <row r="11" spans="1:14" ht="18.5" x14ac:dyDescent="0.35">
      <c r="B11" s="110">
        <v>9</v>
      </c>
      <c r="C11" s="172"/>
      <c r="D11" s="135"/>
      <c r="E11" s="187"/>
      <c r="F11" s="119"/>
      <c r="G11" s="119"/>
      <c r="H11" s="172"/>
      <c r="I11" s="120"/>
      <c r="J11" s="131"/>
    </row>
    <row r="12" spans="1:14" ht="18.5" x14ac:dyDescent="0.35">
      <c r="B12" s="110">
        <v>10</v>
      </c>
      <c r="C12" s="214"/>
      <c r="D12" s="145"/>
      <c r="E12" s="187"/>
      <c r="F12" s="119"/>
      <c r="G12" s="132"/>
      <c r="H12" s="173"/>
      <c r="I12" s="131"/>
      <c r="J12" s="131"/>
    </row>
    <row r="13" spans="1:14" ht="18.5" x14ac:dyDescent="0.35">
      <c r="B13" s="110">
        <v>11</v>
      </c>
      <c r="C13" s="172"/>
      <c r="D13" s="135"/>
      <c r="E13" s="187"/>
      <c r="F13" s="119"/>
      <c r="G13" s="119"/>
      <c r="H13" s="172"/>
      <c r="I13" s="135"/>
      <c r="J13" s="171"/>
    </row>
    <row r="14" spans="1:14" ht="18.5" x14ac:dyDescent="0.35">
      <c r="B14" s="110">
        <v>12</v>
      </c>
      <c r="C14" s="172"/>
      <c r="D14" s="135"/>
      <c r="E14" s="187"/>
      <c r="F14" s="119"/>
      <c r="G14" s="119"/>
      <c r="H14" s="159"/>
      <c r="I14" s="135"/>
      <c r="J14" s="171"/>
    </row>
    <row r="15" spans="1:14" s="128" customFormat="1" ht="18.5" x14ac:dyDescent="0.45">
      <c r="B15" s="110">
        <v>13</v>
      </c>
      <c r="C15" s="172"/>
      <c r="D15" s="135"/>
      <c r="E15" s="187"/>
      <c r="F15" s="119"/>
      <c r="G15" s="119"/>
      <c r="H15" s="120"/>
      <c r="I15" s="120"/>
      <c r="J15" s="120"/>
    </row>
    <row r="16" spans="1:14" ht="18.5" x14ac:dyDescent="0.35">
      <c r="B16" s="110">
        <v>14</v>
      </c>
      <c r="C16" s="172"/>
      <c r="D16" s="119"/>
      <c r="E16" s="188"/>
      <c r="F16" s="119"/>
      <c r="G16" s="119"/>
      <c r="H16" s="172"/>
      <c r="I16" s="135"/>
      <c r="J16" s="135"/>
    </row>
    <row r="17" spans="2:10" ht="18.5" x14ac:dyDescent="0.35">
      <c r="B17" s="110">
        <v>15</v>
      </c>
      <c r="C17" s="144"/>
      <c r="D17" s="143"/>
      <c r="E17" s="187"/>
      <c r="F17" s="134"/>
      <c r="G17" s="134"/>
      <c r="H17" s="144"/>
      <c r="I17" s="133"/>
      <c r="J17" s="133"/>
    </row>
    <row r="18" spans="2:10" ht="18.5" x14ac:dyDescent="0.35">
      <c r="B18" s="110">
        <v>16</v>
      </c>
      <c r="C18" s="215"/>
      <c r="D18" s="143"/>
      <c r="E18" s="134"/>
      <c r="F18" s="134"/>
      <c r="G18" s="134"/>
      <c r="H18" s="232"/>
      <c r="I18" s="133"/>
      <c r="J18" s="133"/>
    </row>
    <row r="19" spans="2:10" ht="18.5" x14ac:dyDescent="0.35">
      <c r="B19" s="110">
        <v>17</v>
      </c>
      <c r="C19" s="215"/>
      <c r="D19" s="143"/>
      <c r="E19" s="134"/>
      <c r="F19" s="134"/>
      <c r="G19" s="134"/>
      <c r="H19" s="144"/>
      <c r="I19" s="133"/>
      <c r="J19" s="133"/>
    </row>
    <row r="20" spans="2:10" ht="18.5" x14ac:dyDescent="0.35">
      <c r="B20" s="110">
        <v>18</v>
      </c>
      <c r="C20" s="215"/>
      <c r="D20" s="143"/>
      <c r="E20" s="134"/>
      <c r="F20" s="134"/>
      <c r="G20" s="134"/>
      <c r="H20" s="144"/>
      <c r="I20" s="133"/>
      <c r="J20" s="133"/>
    </row>
    <row r="21" spans="2:10" ht="18.5" hidden="1" x14ac:dyDescent="0.35">
      <c r="B21" s="110">
        <v>19</v>
      </c>
      <c r="C21" s="215"/>
      <c r="D21" s="143"/>
      <c r="E21" s="134"/>
      <c r="F21" s="134"/>
      <c r="G21" s="134"/>
      <c r="H21" s="144"/>
      <c r="I21" s="133"/>
      <c r="J21" s="133"/>
    </row>
    <row r="22" spans="2:10" ht="18.5" x14ac:dyDescent="0.35">
      <c r="B22" s="110">
        <v>20</v>
      </c>
      <c r="C22" s="133"/>
      <c r="D22" s="143"/>
      <c r="E22" s="134"/>
      <c r="F22" s="134"/>
      <c r="G22" s="134"/>
      <c r="H22" s="144"/>
      <c r="I22" s="133"/>
      <c r="J22" s="133"/>
    </row>
    <row r="23" spans="2:10" ht="18.5" x14ac:dyDescent="0.35">
      <c r="B23" s="110">
        <v>21</v>
      </c>
      <c r="C23" s="133"/>
      <c r="D23" s="143"/>
      <c r="E23" s="187"/>
      <c r="F23" s="134"/>
      <c r="G23" s="134"/>
      <c r="H23" s="144"/>
      <c r="I23" s="133"/>
      <c r="J23" s="133"/>
    </row>
    <row r="24" spans="2:10" ht="18.5" x14ac:dyDescent="0.35">
      <c r="B24" s="110">
        <v>22</v>
      </c>
      <c r="C24" s="133"/>
      <c r="D24" s="143"/>
      <c r="E24" s="134"/>
      <c r="F24" s="134"/>
      <c r="G24" s="134"/>
      <c r="H24" s="144"/>
      <c r="I24" s="133"/>
      <c r="J24" s="133"/>
    </row>
    <row r="25" spans="2:10" ht="18.5" x14ac:dyDescent="0.35">
      <c r="B25" s="110">
        <v>23</v>
      </c>
      <c r="C25" s="133"/>
      <c r="D25" s="143"/>
      <c r="E25" s="134"/>
      <c r="F25" s="134"/>
      <c r="G25" s="134"/>
      <c r="H25" s="144"/>
      <c r="I25" s="133"/>
      <c r="J25" s="133"/>
    </row>
    <row r="26" spans="2:10" ht="18.5" x14ac:dyDescent="0.35">
      <c r="B26" s="110">
        <v>24</v>
      </c>
      <c r="C26" s="215"/>
      <c r="D26" s="143"/>
      <c r="E26" s="134"/>
      <c r="F26" s="223"/>
      <c r="G26" s="134"/>
      <c r="H26" s="144"/>
      <c r="I26" s="133"/>
      <c r="J26" s="133"/>
    </row>
    <row r="27" spans="2:10" ht="18.5" x14ac:dyDescent="0.35">
      <c r="B27" s="110">
        <v>25</v>
      </c>
      <c r="C27" s="215"/>
      <c r="D27" s="143"/>
      <c r="E27" s="134"/>
      <c r="F27" s="134"/>
      <c r="G27" s="134"/>
      <c r="H27" s="144"/>
      <c r="I27" s="133"/>
      <c r="J27" s="133"/>
    </row>
    <row r="28" spans="2:10" ht="18.5" x14ac:dyDescent="0.35">
      <c r="B28" s="110">
        <v>26</v>
      </c>
      <c r="C28" s="215"/>
      <c r="D28" s="143"/>
      <c r="E28" s="134"/>
      <c r="F28" s="134"/>
      <c r="G28" s="134"/>
      <c r="H28" s="144"/>
      <c r="I28" s="133"/>
      <c r="J28" s="133"/>
    </row>
    <row r="29" spans="2:10" ht="18.5" x14ac:dyDescent="0.35">
      <c r="B29" s="110">
        <v>27</v>
      </c>
      <c r="C29" s="133"/>
      <c r="D29" s="143"/>
      <c r="E29" s="134"/>
      <c r="F29" s="134"/>
      <c r="G29" s="134"/>
      <c r="H29" s="144"/>
      <c r="I29" s="133"/>
      <c r="J29" s="133"/>
    </row>
    <row r="30" spans="2:10" ht="18.5" x14ac:dyDescent="0.45">
      <c r="B30" s="142"/>
      <c r="C30" s="133"/>
      <c r="D30" s="143"/>
      <c r="E30" s="134"/>
      <c r="F30" s="134"/>
      <c r="G30" s="134"/>
      <c r="H30" s="144"/>
      <c r="I30" s="133"/>
      <c r="J30" s="133"/>
    </row>
    <row r="31" spans="2:10" ht="18.5" x14ac:dyDescent="0.45">
      <c r="B31" s="142"/>
      <c r="C31" s="133"/>
      <c r="D31" s="143"/>
      <c r="E31" s="134"/>
      <c r="F31" s="134"/>
      <c r="G31" s="134"/>
      <c r="H31" s="144"/>
      <c r="I31" s="133"/>
      <c r="J31" s="133"/>
    </row>
    <row r="32" spans="2:10" ht="18.5" x14ac:dyDescent="0.45">
      <c r="B32" s="142"/>
      <c r="C32" s="133"/>
      <c r="D32" s="143"/>
      <c r="E32" s="134"/>
      <c r="F32" s="134"/>
      <c r="G32" s="134"/>
      <c r="H32" s="144"/>
      <c r="I32" s="133"/>
      <c r="J32" s="133"/>
    </row>
    <row r="33" spans="2:10" ht="18.5" x14ac:dyDescent="0.45">
      <c r="B33" s="142"/>
      <c r="C33" s="133"/>
      <c r="D33" s="143"/>
      <c r="E33" s="134"/>
      <c r="F33" s="134"/>
      <c r="G33" s="134"/>
      <c r="H33" s="144"/>
      <c r="I33" s="133"/>
      <c r="J33" s="133"/>
    </row>
    <row r="34" spans="2:10" ht="18.5" x14ac:dyDescent="0.45">
      <c r="B34" s="142"/>
      <c r="C34" s="133"/>
      <c r="D34" s="143"/>
      <c r="E34" s="134"/>
      <c r="F34" s="134"/>
      <c r="G34" s="134"/>
      <c r="H34" s="144"/>
      <c r="I34" s="133"/>
      <c r="J34" s="133"/>
    </row>
    <row r="35" spans="2:10" ht="18.5" x14ac:dyDescent="0.45">
      <c r="B35" s="142"/>
      <c r="C35" s="133"/>
      <c r="D35" s="143"/>
      <c r="E35" s="134"/>
      <c r="F35" s="134"/>
      <c r="G35" s="134"/>
      <c r="H35" s="144"/>
      <c r="I35" s="133"/>
      <c r="J35" s="133"/>
    </row>
    <row r="36" spans="2:10" ht="18.5" x14ac:dyDescent="0.45">
      <c r="B36" s="142"/>
      <c r="C36" s="133"/>
      <c r="D36" s="143"/>
      <c r="E36" s="134"/>
      <c r="F36" s="134"/>
      <c r="G36" s="134"/>
      <c r="H36" s="144"/>
      <c r="I36" s="133"/>
      <c r="J36" s="133"/>
    </row>
    <row r="37" spans="2:10" ht="18.5" x14ac:dyDescent="0.45">
      <c r="B37" s="142"/>
      <c r="C37" s="133"/>
      <c r="D37" s="143"/>
      <c r="E37" s="134"/>
      <c r="F37" s="134"/>
      <c r="G37" s="134"/>
      <c r="H37" s="144"/>
      <c r="I37" s="133"/>
      <c r="J37" s="133"/>
    </row>
    <row r="38" spans="2:10" ht="18.5" x14ac:dyDescent="0.45">
      <c r="B38" s="142"/>
      <c r="C38" s="133"/>
      <c r="D38" s="143"/>
      <c r="E38" s="134"/>
      <c r="F38" s="134"/>
      <c r="G38" s="134"/>
      <c r="H38" s="144"/>
      <c r="I38" s="133"/>
      <c r="J38" s="133"/>
    </row>
    <row r="39" spans="2:10" ht="18.5" x14ac:dyDescent="0.45">
      <c r="B39" s="142"/>
      <c r="C39" s="133"/>
      <c r="D39" s="143"/>
      <c r="E39" s="134"/>
      <c r="F39" s="134"/>
      <c r="G39" s="134"/>
      <c r="H39" s="144"/>
      <c r="I39" s="133"/>
      <c r="J39" s="133"/>
    </row>
    <row r="40" spans="2:10" ht="18.5" x14ac:dyDescent="0.45">
      <c r="B40" s="142"/>
      <c r="C40" s="133"/>
      <c r="D40" s="143"/>
      <c r="E40" s="134"/>
      <c r="F40" s="134"/>
      <c r="G40" s="134"/>
      <c r="H40" s="144"/>
      <c r="I40" s="133"/>
      <c r="J40" s="133"/>
    </row>
    <row r="41" spans="2:10" ht="18.5" x14ac:dyDescent="0.45">
      <c r="B41" s="142"/>
      <c r="C41" s="133"/>
      <c r="D41" s="143"/>
      <c r="E41" s="134"/>
      <c r="F41" s="134"/>
      <c r="G41" s="134"/>
      <c r="H41" s="144"/>
      <c r="I41" s="133"/>
      <c r="J41" s="133"/>
    </row>
    <row r="42" spans="2:10" ht="18.5" x14ac:dyDescent="0.45">
      <c r="B42" s="142"/>
      <c r="C42" s="133"/>
      <c r="D42" s="143"/>
      <c r="E42" s="134"/>
      <c r="F42" s="134"/>
      <c r="G42" s="134"/>
      <c r="H42" s="144"/>
      <c r="I42" s="133"/>
      <c r="J42" s="133"/>
    </row>
    <row r="43" spans="2:10" ht="18.5" x14ac:dyDescent="0.45">
      <c r="B43" s="142"/>
      <c r="C43" s="133"/>
      <c r="D43" s="143"/>
      <c r="E43" s="134"/>
      <c r="F43" s="134"/>
      <c r="G43" s="134"/>
      <c r="H43" s="144"/>
      <c r="I43" s="133"/>
      <c r="J43" s="133"/>
    </row>
    <row r="44" spans="2:10" x14ac:dyDescent="0.35">
      <c r="H44" s="216"/>
    </row>
    <row r="45" spans="2:10" x14ac:dyDescent="0.35">
      <c r="H45" s="216"/>
    </row>
  </sheetData>
  <mergeCells count="1">
    <mergeCell ref="B1:J1"/>
  </mergeCells>
  <conditionalFormatting sqref="B3:J1048576">
    <cfRule type="expression" dxfId="12" priority="1">
      <formula>$B3&lt;&gt;""</formula>
    </cfRule>
  </conditionalFormatting>
  <pageMargins left="0.25" right="0.25" top="0.5" bottom="0.75" header="0.3" footer="0.3"/>
  <pageSetup paperSize="9" scale="44" fitToWidth="0" fitToHeight="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80"/>
  <sheetViews>
    <sheetView zoomScale="54" zoomScaleNormal="112" workbookViewId="0">
      <pane ySplit="4" topLeftCell="A374" activePane="bottomLeft" state="frozen"/>
      <selection pane="bottomLeft" activeCell="A375" sqref="A375:XFD375"/>
    </sheetView>
  </sheetViews>
  <sheetFormatPr defaultRowHeight="14.5" x14ac:dyDescent="0.35"/>
  <cols>
    <col min="1" max="1" width="5" style="3" customWidth="1"/>
    <col min="2" max="2" width="39" style="3" bestFit="1" customWidth="1"/>
    <col min="3" max="3" width="24.81640625" style="3" customWidth="1"/>
    <col min="4" max="4" width="40.81640625" style="3" bestFit="1" customWidth="1"/>
    <col min="5" max="5" width="21.1796875" style="3" bestFit="1" customWidth="1"/>
    <col min="6" max="6" width="24.54296875" style="3" bestFit="1" customWidth="1"/>
    <col min="7" max="7" width="35.1796875" style="3" bestFit="1" customWidth="1"/>
    <col min="8" max="8" width="36.54296875" style="3" customWidth="1"/>
    <col min="9" max="9" width="19.1796875" style="3" bestFit="1" customWidth="1"/>
    <col min="10" max="10" width="14.1796875" bestFit="1" customWidth="1"/>
    <col min="11" max="11" width="23.81640625" customWidth="1"/>
    <col min="13" max="13" width="13.1796875" customWidth="1"/>
  </cols>
  <sheetData>
    <row r="1" spans="1:14" x14ac:dyDescent="0.35">
      <c r="A1"/>
      <c r="B1"/>
      <c r="C1"/>
      <c r="D1"/>
      <c r="E1"/>
      <c r="F1"/>
      <c r="G1"/>
      <c r="H1"/>
      <c r="I1"/>
    </row>
    <row r="2" spans="1:14" ht="15" customHeight="1" x14ac:dyDescent="0.35">
      <c r="A2" s="541" t="s">
        <v>566</v>
      </c>
      <c r="B2" s="541"/>
      <c r="C2" s="541"/>
      <c r="D2" s="541"/>
      <c r="E2" s="541"/>
      <c r="F2" s="541"/>
      <c r="G2" s="541"/>
      <c r="H2" s="541"/>
      <c r="I2" s="541"/>
    </row>
    <row r="3" spans="1:14" ht="15" customHeight="1" x14ac:dyDescent="0.35">
      <c r="A3" s="542"/>
      <c r="B3" s="542"/>
      <c r="C3" s="542"/>
      <c r="D3" s="542"/>
      <c r="E3" s="542"/>
      <c r="F3" s="542"/>
      <c r="G3" s="542"/>
      <c r="H3" s="542"/>
      <c r="I3" s="542"/>
    </row>
    <row r="4" spans="1:14" ht="15.5" x14ac:dyDescent="0.35">
      <c r="A4" s="138" t="s">
        <v>1</v>
      </c>
      <c r="B4" s="138" t="s">
        <v>2</v>
      </c>
      <c r="C4" s="138" t="s">
        <v>451</v>
      </c>
      <c r="D4" s="138" t="s">
        <v>6</v>
      </c>
      <c r="E4" s="138" t="s">
        <v>452</v>
      </c>
      <c r="F4" s="139" t="s">
        <v>484</v>
      </c>
      <c r="G4" s="139" t="s">
        <v>567</v>
      </c>
      <c r="H4" s="139" t="s">
        <v>12</v>
      </c>
      <c r="I4" s="138" t="s">
        <v>13</v>
      </c>
    </row>
    <row r="5" spans="1:14" s="99" customFormat="1" ht="44.25" customHeight="1" x14ac:dyDescent="0.35">
      <c r="A5" s="23">
        <v>1</v>
      </c>
      <c r="B5" s="24" t="s">
        <v>568</v>
      </c>
      <c r="C5" s="24" t="s">
        <v>569</v>
      </c>
      <c r="D5" s="24" t="s">
        <v>570</v>
      </c>
      <c r="E5" s="46" t="s">
        <v>571</v>
      </c>
      <c r="F5" s="24" t="s">
        <v>572</v>
      </c>
      <c r="G5" s="24" t="s">
        <v>458</v>
      </c>
      <c r="H5" s="24" t="s">
        <v>573</v>
      </c>
      <c r="I5" s="24" t="s">
        <v>543</v>
      </c>
    </row>
    <row r="6" spans="1:14" s="99" customFormat="1" ht="43.5" x14ac:dyDescent="0.35">
      <c r="A6" s="100">
        <v>2</v>
      </c>
      <c r="B6" s="101" t="s">
        <v>574</v>
      </c>
      <c r="C6" s="101" t="s">
        <v>569</v>
      </c>
      <c r="D6" s="101" t="s">
        <v>373</v>
      </c>
      <c r="E6" s="102" t="s">
        <v>571</v>
      </c>
      <c r="F6" s="101" t="s">
        <v>575</v>
      </c>
      <c r="G6" s="101" t="s">
        <v>576</v>
      </c>
      <c r="H6" s="101" t="s">
        <v>577</v>
      </c>
      <c r="I6" s="101" t="s">
        <v>543</v>
      </c>
    </row>
    <row r="7" spans="1:14" ht="43.5" x14ac:dyDescent="0.35">
      <c r="A7" s="23">
        <v>3</v>
      </c>
      <c r="B7" s="10" t="s">
        <v>578</v>
      </c>
      <c r="C7" s="10" t="s">
        <v>579</v>
      </c>
      <c r="D7" s="10" t="s">
        <v>580</v>
      </c>
      <c r="E7" s="11"/>
      <c r="F7" s="10" t="s">
        <v>581</v>
      </c>
      <c r="G7" s="10"/>
      <c r="H7" s="10"/>
      <c r="I7" s="9" t="s">
        <v>543</v>
      </c>
      <c r="L7" s="29"/>
    </row>
    <row r="8" spans="1:14" s="41" customFormat="1" ht="145" x14ac:dyDescent="0.35">
      <c r="A8" s="100">
        <v>4</v>
      </c>
      <c r="B8" s="38" t="s">
        <v>582</v>
      </c>
      <c r="C8" s="38" t="s">
        <v>583</v>
      </c>
      <c r="D8" s="38" t="s">
        <v>584</v>
      </c>
      <c r="E8" s="39"/>
      <c r="F8" s="38" t="s">
        <v>585</v>
      </c>
      <c r="G8" s="38"/>
      <c r="H8" s="38" t="s">
        <v>586</v>
      </c>
      <c r="I8" s="38" t="s">
        <v>587</v>
      </c>
      <c r="L8" s="43"/>
      <c r="M8" s="40"/>
      <c r="N8" s="40"/>
    </row>
    <row r="9" spans="1:14" s="35" customFormat="1" ht="58" x14ac:dyDescent="0.35">
      <c r="A9" s="23">
        <v>5</v>
      </c>
      <c r="B9" s="24" t="s">
        <v>588</v>
      </c>
      <c r="C9" s="24" t="s">
        <v>589</v>
      </c>
      <c r="D9" s="24" t="s">
        <v>373</v>
      </c>
      <c r="E9" s="46" t="s">
        <v>590</v>
      </c>
      <c r="F9" s="24" t="s">
        <v>591</v>
      </c>
      <c r="G9" s="24"/>
      <c r="H9" s="24" t="s">
        <v>592</v>
      </c>
      <c r="I9" s="24" t="s">
        <v>587</v>
      </c>
      <c r="L9" s="93"/>
    </row>
    <row r="10" spans="1:14" s="35" customFormat="1" ht="58" x14ac:dyDescent="0.35">
      <c r="A10" s="100">
        <v>6</v>
      </c>
      <c r="B10" s="24" t="s">
        <v>593</v>
      </c>
      <c r="C10" s="24" t="s">
        <v>589</v>
      </c>
      <c r="D10" s="24" t="s">
        <v>594</v>
      </c>
      <c r="E10" s="44" t="s">
        <v>595</v>
      </c>
      <c r="F10" s="24" t="s">
        <v>596</v>
      </c>
      <c r="G10" s="24"/>
      <c r="H10" s="24" t="s">
        <v>597</v>
      </c>
      <c r="I10" s="24" t="s">
        <v>587</v>
      </c>
      <c r="L10" s="93"/>
    </row>
    <row r="11" spans="1:14" s="29" customFormat="1" ht="43.5" x14ac:dyDescent="0.35">
      <c r="A11" s="23">
        <v>7</v>
      </c>
      <c r="B11" s="10" t="s">
        <v>598</v>
      </c>
      <c r="C11" s="10" t="s">
        <v>599</v>
      </c>
      <c r="D11" s="10" t="s">
        <v>600</v>
      </c>
      <c r="E11" s="52"/>
      <c r="F11" s="10" t="s">
        <v>601</v>
      </c>
      <c r="G11" s="10"/>
      <c r="H11" s="10" t="s">
        <v>602</v>
      </c>
      <c r="I11" s="9" t="s">
        <v>461</v>
      </c>
      <c r="M11" s="51"/>
    </row>
    <row r="12" spans="1:14" s="49" customFormat="1" ht="58" x14ac:dyDescent="0.35">
      <c r="A12" s="100">
        <v>8</v>
      </c>
      <c r="B12" s="24" t="s">
        <v>603</v>
      </c>
      <c r="C12" s="24"/>
      <c r="D12" s="24" t="s">
        <v>604</v>
      </c>
      <c r="E12" s="46"/>
      <c r="F12" s="24" t="s">
        <v>605</v>
      </c>
      <c r="G12" s="24" t="s">
        <v>606</v>
      </c>
      <c r="H12" s="24" t="s">
        <v>607</v>
      </c>
      <c r="I12" s="23" t="s">
        <v>543</v>
      </c>
      <c r="M12" s="93"/>
    </row>
    <row r="13" spans="1:14" s="49" customFormat="1" ht="29" x14ac:dyDescent="0.35">
      <c r="A13" s="23">
        <v>9</v>
      </c>
      <c r="B13" s="24" t="s">
        <v>608</v>
      </c>
      <c r="C13" s="24" t="s">
        <v>609</v>
      </c>
      <c r="D13" s="24" t="s">
        <v>610</v>
      </c>
      <c r="E13" s="24"/>
      <c r="F13" s="24"/>
      <c r="G13" s="24" t="s">
        <v>611</v>
      </c>
      <c r="H13" s="24" t="s">
        <v>612</v>
      </c>
      <c r="I13" s="24" t="s">
        <v>587</v>
      </c>
      <c r="M13" s="93"/>
    </row>
    <row r="14" spans="1:14" s="49" customFormat="1" ht="29" x14ac:dyDescent="0.35">
      <c r="A14" s="100">
        <v>10</v>
      </c>
      <c r="B14" s="38" t="s">
        <v>613</v>
      </c>
      <c r="C14" s="117" t="s">
        <v>614</v>
      </c>
      <c r="D14" s="23"/>
      <c r="E14" s="37"/>
      <c r="F14" s="116"/>
      <c r="G14" s="37"/>
      <c r="H14" s="182" t="s">
        <v>615</v>
      </c>
      <c r="I14" s="24" t="s">
        <v>543</v>
      </c>
      <c r="M14" s="93"/>
    </row>
    <row r="15" spans="1:14" s="115" customFormat="1" ht="31" x14ac:dyDescent="0.35">
      <c r="A15" s="23">
        <v>11</v>
      </c>
      <c r="B15" s="104" t="s">
        <v>616</v>
      </c>
      <c r="C15" s="113" t="s">
        <v>617</v>
      </c>
      <c r="D15" s="71"/>
      <c r="E15" s="114"/>
      <c r="F15" s="113"/>
      <c r="G15" s="114"/>
      <c r="H15" s="183" t="s">
        <v>618</v>
      </c>
      <c r="I15" s="71" t="s">
        <v>587</v>
      </c>
      <c r="M15" s="95"/>
    </row>
    <row r="16" spans="1:14" x14ac:dyDescent="0.35">
      <c r="A16" s="100">
        <v>12</v>
      </c>
      <c r="B16" s="184" t="s">
        <v>619</v>
      </c>
      <c r="C16" s="117" t="s">
        <v>620</v>
      </c>
      <c r="D16" s="37"/>
      <c r="E16" s="185"/>
      <c r="F16" s="37"/>
      <c r="G16" s="38" t="s">
        <v>621</v>
      </c>
      <c r="H16" s="38" t="s">
        <v>622</v>
      </c>
      <c r="I16" s="140" t="s">
        <v>543</v>
      </c>
    </row>
    <row r="17" spans="1:15" ht="31" x14ac:dyDescent="0.35">
      <c r="A17" s="23">
        <v>13</v>
      </c>
      <c r="B17" s="147" t="s">
        <v>623</v>
      </c>
      <c r="C17" s="147" t="s">
        <v>624</v>
      </c>
      <c r="D17" s="114">
        <v>3600000000</v>
      </c>
      <c r="E17" s="147" t="s">
        <v>625</v>
      </c>
      <c r="F17" s="147" t="s">
        <v>543</v>
      </c>
      <c r="G17" s="147" t="s">
        <v>626</v>
      </c>
      <c r="H17" s="148"/>
      <c r="I17" s="147"/>
    </row>
    <row r="18" spans="1:15" ht="31" x14ac:dyDescent="0.35">
      <c r="A18" s="100">
        <v>14</v>
      </c>
      <c r="B18" s="149" t="s">
        <v>627</v>
      </c>
      <c r="C18" s="150" t="s">
        <v>628</v>
      </c>
      <c r="D18" s="151"/>
      <c r="E18" s="150" t="s">
        <v>629</v>
      </c>
      <c r="F18" s="150" t="s">
        <v>543</v>
      </c>
      <c r="G18" s="186" t="s">
        <v>630</v>
      </c>
      <c r="H18" s="149"/>
      <c r="I18" s="149"/>
    </row>
    <row r="19" spans="1:15" ht="15.5" x14ac:dyDescent="0.35">
      <c r="A19" s="23">
        <v>15</v>
      </c>
      <c r="B19" s="154" t="s">
        <v>631</v>
      </c>
      <c r="C19" s="154" t="s">
        <v>628</v>
      </c>
      <c r="D19" s="114">
        <v>2200000000</v>
      </c>
      <c r="E19" s="155" t="s">
        <v>632</v>
      </c>
      <c r="F19" s="114" t="s">
        <v>633</v>
      </c>
      <c r="G19" s="146" t="s">
        <v>634</v>
      </c>
      <c r="H19" s="156">
        <v>44202</v>
      </c>
      <c r="I19" s="154" t="s">
        <v>635</v>
      </c>
    </row>
    <row r="20" spans="1:15" ht="15.5" x14ac:dyDescent="0.35">
      <c r="A20" s="23">
        <v>16</v>
      </c>
      <c r="B20" s="157" t="s">
        <v>636</v>
      </c>
      <c r="C20" s="157"/>
      <c r="D20" s="151"/>
      <c r="E20" s="151" t="s">
        <v>637</v>
      </c>
      <c r="F20" s="151"/>
      <c r="G20" s="157" t="s">
        <v>638</v>
      </c>
      <c r="H20" s="158"/>
      <c r="I20" s="157"/>
    </row>
    <row r="21" spans="1:15" s="32" customFormat="1" x14ac:dyDescent="0.35">
      <c r="A21" s="31">
        <v>17</v>
      </c>
      <c r="B21" s="177" t="s">
        <v>639</v>
      </c>
      <c r="C21" s="177"/>
      <c r="D21" s="33"/>
      <c r="E21" s="33" t="s">
        <v>640</v>
      </c>
      <c r="F21" s="33" t="s">
        <v>543</v>
      </c>
      <c r="G21" s="31"/>
      <c r="H21" s="177"/>
      <c r="I21" s="177"/>
      <c r="J21" s="181"/>
    </row>
    <row r="22" spans="1:15" ht="29" x14ac:dyDescent="0.35">
      <c r="A22" s="23">
        <v>18</v>
      </c>
      <c r="B22" s="178" t="s">
        <v>641</v>
      </c>
      <c r="C22" s="178"/>
      <c r="D22" s="178"/>
      <c r="E22" s="178" t="s">
        <v>642</v>
      </c>
      <c r="F22" s="178" t="s">
        <v>461</v>
      </c>
      <c r="G22" s="178" t="s">
        <v>643</v>
      </c>
      <c r="H22" s="179">
        <v>44202</v>
      </c>
      <c r="I22" s="184"/>
    </row>
    <row r="23" spans="1:15" ht="15.5" x14ac:dyDescent="0.35">
      <c r="A23" s="180">
        <v>19</v>
      </c>
      <c r="B23" s="147" t="s">
        <v>644</v>
      </c>
      <c r="C23" s="113" t="s">
        <v>645</v>
      </c>
      <c r="D23" s="71"/>
      <c r="E23" s="114"/>
      <c r="F23" s="198"/>
      <c r="G23" s="114"/>
      <c r="H23" s="183" t="s">
        <v>646</v>
      </c>
      <c r="I23" s="71" t="s">
        <v>543</v>
      </c>
      <c r="J23" s="296"/>
    </row>
    <row r="24" spans="1:15" s="220" customFormat="1" ht="31" x14ac:dyDescent="0.35">
      <c r="A24" s="48">
        <v>20</v>
      </c>
      <c r="B24" s="147" t="s">
        <v>647</v>
      </c>
      <c r="C24" s="147" t="s">
        <v>373</v>
      </c>
      <c r="D24" s="218"/>
      <c r="E24" s="147" t="s">
        <v>648</v>
      </c>
      <c r="F24" s="147" t="s">
        <v>543</v>
      </c>
      <c r="G24" s="219" t="s">
        <v>649</v>
      </c>
      <c r="H24" s="148"/>
      <c r="I24" s="147"/>
      <c r="J24" s="295"/>
      <c r="K24" s="221"/>
      <c r="L24" s="221"/>
      <c r="M24" s="221"/>
      <c r="N24" s="221"/>
      <c r="O24" s="222"/>
    </row>
    <row r="25" spans="1:15" s="170" customFormat="1" ht="84" x14ac:dyDescent="0.5">
      <c r="A25" s="56">
        <v>6</v>
      </c>
      <c r="B25" s="249" t="s">
        <v>650</v>
      </c>
      <c r="C25" s="89" t="s">
        <v>177</v>
      </c>
      <c r="D25" s="56"/>
      <c r="E25" s="90"/>
      <c r="F25" s="92" t="s">
        <v>651</v>
      </c>
      <c r="G25" s="90"/>
      <c r="H25" s="57" t="s">
        <v>652</v>
      </c>
      <c r="I25" s="56" t="s">
        <v>461</v>
      </c>
      <c r="J25" s="297"/>
    </row>
    <row r="26" spans="1:15" s="175" customFormat="1" ht="84" x14ac:dyDescent="0.5">
      <c r="A26" s="56">
        <v>8</v>
      </c>
      <c r="B26" s="250" t="s">
        <v>653</v>
      </c>
      <c r="C26" s="74" t="s">
        <v>654</v>
      </c>
      <c r="D26" s="225" t="s">
        <v>655</v>
      </c>
      <c r="E26" s="90"/>
      <c r="F26" s="75" t="s">
        <v>656</v>
      </c>
      <c r="G26" s="174"/>
      <c r="H26" s="224" t="s">
        <v>657</v>
      </c>
      <c r="I26" s="74" t="s">
        <v>461</v>
      </c>
      <c r="J26" s="298"/>
    </row>
    <row r="27" spans="1:15" s="287" customFormat="1" ht="63" x14ac:dyDescent="0.5">
      <c r="A27" s="60">
        <v>8</v>
      </c>
      <c r="B27" s="255" t="s">
        <v>658</v>
      </c>
      <c r="C27" s="243">
        <v>100000000</v>
      </c>
      <c r="D27" s="227" t="s">
        <v>659</v>
      </c>
      <c r="E27" s="97" t="s">
        <v>660</v>
      </c>
      <c r="F27" s="60" t="s">
        <v>661</v>
      </c>
      <c r="G27" s="294"/>
      <c r="H27" s="294" t="s">
        <v>662</v>
      </c>
      <c r="I27" s="294"/>
      <c r="J27" s="294"/>
      <c r="K27" s="294"/>
      <c r="L27" s="294"/>
      <c r="M27" s="294"/>
      <c r="N27" s="294"/>
    </row>
    <row r="28" spans="1:15" s="318" customFormat="1" ht="42" x14ac:dyDescent="0.5">
      <c r="A28" s="312">
        <v>12</v>
      </c>
      <c r="B28" s="313" t="s">
        <v>663</v>
      </c>
      <c r="C28" s="314">
        <v>100000000</v>
      </c>
      <c r="D28" s="315" t="s">
        <v>664</v>
      </c>
      <c r="E28" s="316" t="s">
        <v>665</v>
      </c>
      <c r="F28" s="312" t="s">
        <v>661</v>
      </c>
      <c r="G28" s="317"/>
      <c r="H28" s="317"/>
      <c r="I28" s="317"/>
      <c r="J28" s="317"/>
      <c r="K28" s="317"/>
      <c r="L28" s="317"/>
      <c r="M28" s="317"/>
      <c r="N28" s="317"/>
    </row>
    <row r="29" spans="1:15" s="287" customFormat="1" ht="84" x14ac:dyDescent="0.5">
      <c r="A29" s="60">
        <v>7</v>
      </c>
      <c r="B29" s="255" t="s">
        <v>666</v>
      </c>
      <c r="C29" s="243">
        <v>100000000</v>
      </c>
      <c r="D29" s="227" t="s">
        <v>659</v>
      </c>
      <c r="E29" s="97" t="s">
        <v>660</v>
      </c>
      <c r="F29" s="60" t="s">
        <v>661</v>
      </c>
      <c r="G29" s="294"/>
      <c r="H29" s="97" t="s">
        <v>667</v>
      </c>
      <c r="I29" s="294"/>
      <c r="J29" s="97" t="s">
        <v>668</v>
      </c>
      <c r="K29" s="294"/>
      <c r="L29" s="294"/>
      <c r="M29" s="294"/>
      <c r="N29" s="294"/>
    </row>
    <row r="30" spans="1:15" s="287" customFormat="1" ht="294" x14ac:dyDescent="0.5">
      <c r="A30" s="56">
        <v>23</v>
      </c>
      <c r="B30" s="255" t="s">
        <v>669</v>
      </c>
      <c r="C30" s="243"/>
      <c r="D30" s="345" t="s">
        <v>670</v>
      </c>
      <c r="E30" s="97" t="s">
        <v>671</v>
      </c>
      <c r="F30" s="341"/>
      <c r="G30" s="294"/>
      <c r="H30" s="294"/>
      <c r="I30" s="294"/>
      <c r="J30" s="97"/>
      <c r="K30" s="294"/>
      <c r="L30" s="294"/>
      <c r="M30" s="294"/>
      <c r="N30" s="97" t="s">
        <v>672</v>
      </c>
    </row>
    <row r="31" spans="1:15" s="287" customFormat="1" ht="63" x14ac:dyDescent="0.5">
      <c r="A31" s="56">
        <v>24</v>
      </c>
      <c r="B31" s="346" t="s">
        <v>673</v>
      </c>
      <c r="C31" s="360">
        <v>50000000</v>
      </c>
      <c r="D31" s="348" t="s">
        <v>433</v>
      </c>
      <c r="E31" s="348" t="s">
        <v>674</v>
      </c>
      <c r="F31" s="349"/>
      <c r="G31" s="350"/>
      <c r="H31" s="350"/>
      <c r="I31" s="350"/>
      <c r="J31" s="348" t="s">
        <v>675</v>
      </c>
      <c r="K31" s="350"/>
      <c r="L31" s="350"/>
      <c r="M31" s="350"/>
      <c r="N31" s="350"/>
    </row>
    <row r="32" spans="1:15" s="287" customFormat="1" ht="231" x14ac:dyDescent="0.5">
      <c r="A32" s="56">
        <v>9</v>
      </c>
      <c r="B32" s="255" t="s">
        <v>676</v>
      </c>
      <c r="C32" s="344">
        <v>24754900</v>
      </c>
      <c r="D32" s="227" t="s">
        <v>677</v>
      </c>
      <c r="E32" s="97" t="s">
        <v>678</v>
      </c>
      <c r="F32" s="341"/>
      <c r="G32" s="294"/>
      <c r="H32" s="294"/>
      <c r="I32" s="294"/>
      <c r="J32" s="97" t="s">
        <v>679</v>
      </c>
      <c r="K32" s="294"/>
      <c r="L32" s="294"/>
      <c r="M32" s="294"/>
      <c r="N32" s="294"/>
    </row>
    <row r="33" spans="1:15" s="287" customFormat="1" ht="105" x14ac:dyDescent="0.5">
      <c r="A33" s="60">
        <v>14</v>
      </c>
      <c r="B33" s="255" t="s">
        <v>680</v>
      </c>
      <c r="C33" s="243">
        <v>300000000</v>
      </c>
      <c r="D33" s="345" t="s">
        <v>670</v>
      </c>
      <c r="E33" s="97" t="s">
        <v>425</v>
      </c>
      <c r="F33" s="60" t="s">
        <v>681</v>
      </c>
      <c r="G33" s="294"/>
      <c r="H33" s="294"/>
      <c r="I33" s="294"/>
      <c r="J33" s="97" t="s">
        <v>682</v>
      </c>
      <c r="K33" s="294"/>
      <c r="L33" s="294"/>
      <c r="M33" s="294"/>
      <c r="N33" s="294"/>
    </row>
    <row r="34" spans="1:15" s="287" customFormat="1" ht="252" x14ac:dyDescent="0.5">
      <c r="A34" s="190">
        <v>24</v>
      </c>
      <c r="B34" s="253" t="s">
        <v>683</v>
      </c>
      <c r="C34" s="379">
        <v>5241100000</v>
      </c>
      <c r="E34" s="289" t="s">
        <v>684</v>
      </c>
      <c r="G34" s="289"/>
      <c r="H34" s="289"/>
      <c r="I34" s="289"/>
      <c r="J34" s="244"/>
      <c r="K34" s="289"/>
      <c r="L34" s="289" t="s">
        <v>685</v>
      </c>
      <c r="M34" s="190" t="s">
        <v>686</v>
      </c>
      <c r="N34" s="289"/>
    </row>
    <row r="35" spans="1:15" ht="210" x14ac:dyDescent="0.5">
      <c r="A35" s="60">
        <v>6</v>
      </c>
      <c r="B35" s="255" t="s">
        <v>446</v>
      </c>
      <c r="C35" s="341"/>
      <c r="D35" s="341"/>
      <c r="E35" s="294" t="s">
        <v>447</v>
      </c>
      <c r="F35" s="341"/>
      <c r="G35" s="294"/>
      <c r="H35" s="294"/>
      <c r="I35" s="294"/>
      <c r="J35" s="97" t="s">
        <v>687</v>
      </c>
      <c r="K35" s="294"/>
      <c r="L35" s="97" t="s">
        <v>688</v>
      </c>
      <c r="M35" s="97" t="s">
        <v>686</v>
      </c>
      <c r="N35" s="294"/>
    </row>
    <row r="36" spans="1:15" s="287" customFormat="1" ht="147" x14ac:dyDescent="0.5">
      <c r="A36" s="387">
        <v>28</v>
      </c>
      <c r="B36" s="388" t="s">
        <v>689</v>
      </c>
      <c r="C36" s="391">
        <v>2000000000</v>
      </c>
      <c r="D36" s="372"/>
      <c r="E36" s="389" t="s">
        <v>690</v>
      </c>
      <c r="F36" s="372"/>
      <c r="G36" s="389"/>
      <c r="H36" s="389"/>
      <c r="I36" s="389"/>
      <c r="J36" s="390" t="s">
        <v>691</v>
      </c>
      <c r="K36" s="389"/>
      <c r="L36" s="389"/>
      <c r="M36" s="390"/>
      <c r="N36" s="389"/>
    </row>
    <row r="37" spans="1:15" s="287" customFormat="1" ht="147" x14ac:dyDescent="0.5">
      <c r="A37" s="363">
        <v>30</v>
      </c>
      <c r="B37" s="364" t="s">
        <v>692</v>
      </c>
      <c r="C37" s="377">
        <v>2000000000</v>
      </c>
      <c r="D37" s="367"/>
      <c r="E37" s="368" t="s">
        <v>693</v>
      </c>
      <c r="F37" s="367"/>
      <c r="G37" s="368"/>
      <c r="H37" s="368"/>
      <c r="I37" s="368"/>
      <c r="J37" s="390" t="s">
        <v>691</v>
      </c>
      <c r="K37" s="368"/>
      <c r="L37" s="368"/>
      <c r="M37" s="369"/>
      <c r="N37" s="368"/>
    </row>
    <row r="38" spans="1:15" s="287" customFormat="1" ht="21" x14ac:dyDescent="0.5">
      <c r="A38" s="60">
        <v>39</v>
      </c>
      <c r="B38" s="255" t="s">
        <v>694</v>
      </c>
      <c r="C38" s="341"/>
      <c r="D38" s="341"/>
      <c r="E38" s="294" t="s">
        <v>695</v>
      </c>
      <c r="F38" s="341"/>
      <c r="G38" s="294"/>
      <c r="H38" s="294"/>
      <c r="I38" s="294" t="s">
        <v>696</v>
      </c>
      <c r="J38" s="97"/>
      <c r="K38" s="294"/>
      <c r="L38" s="294"/>
      <c r="M38" s="97" t="s">
        <v>697</v>
      </c>
      <c r="N38" s="294"/>
    </row>
    <row r="39" spans="1:15" s="398" customFormat="1" ht="42" x14ac:dyDescent="0.5">
      <c r="A39" s="403">
        <v>14</v>
      </c>
      <c r="B39" s="404" t="s">
        <v>698</v>
      </c>
      <c r="C39" s="405">
        <v>3303962991</v>
      </c>
      <c r="E39" s="406" t="s">
        <v>699</v>
      </c>
      <c r="G39" s="406"/>
      <c r="H39" s="406"/>
      <c r="I39" s="406"/>
      <c r="J39" s="407" t="s">
        <v>700</v>
      </c>
      <c r="K39" s="406"/>
      <c r="L39" s="406"/>
      <c r="M39" s="407" t="s">
        <v>701</v>
      </c>
      <c r="N39" s="406"/>
    </row>
    <row r="40" spans="1:15" s="398" customFormat="1" ht="126" x14ac:dyDescent="0.5">
      <c r="A40" s="403">
        <v>22</v>
      </c>
      <c r="B40" s="404" t="s">
        <v>702</v>
      </c>
      <c r="C40" s="405">
        <v>1420000000</v>
      </c>
      <c r="E40" s="406" t="s">
        <v>703</v>
      </c>
      <c r="G40" s="406"/>
      <c r="H40" s="406"/>
      <c r="I40" s="406"/>
      <c r="J40" s="407" t="s">
        <v>704</v>
      </c>
      <c r="K40" s="406"/>
      <c r="L40" s="406" t="s">
        <v>705</v>
      </c>
      <c r="M40" s="407"/>
      <c r="N40" s="406"/>
    </row>
    <row r="41" spans="1:15" s="287" customFormat="1" ht="105" x14ac:dyDescent="0.5">
      <c r="A41" s="190">
        <v>26</v>
      </c>
      <c r="B41" s="253" t="s">
        <v>706</v>
      </c>
      <c r="C41" s="379">
        <v>1674888000</v>
      </c>
      <c r="E41" s="291" t="s">
        <v>707</v>
      </c>
      <c r="G41" s="289"/>
      <c r="H41" s="289"/>
      <c r="I41" s="289"/>
      <c r="J41" s="244" t="s">
        <v>708</v>
      </c>
      <c r="K41" s="289"/>
      <c r="L41" s="289" t="s">
        <v>709</v>
      </c>
      <c r="M41" s="244"/>
      <c r="N41" s="289"/>
    </row>
    <row r="42" spans="1:15" s="398" customFormat="1" ht="84" x14ac:dyDescent="0.5">
      <c r="A42" s="403">
        <v>27</v>
      </c>
      <c r="B42" s="404" t="s">
        <v>710</v>
      </c>
      <c r="C42" s="408">
        <v>400000000</v>
      </c>
      <c r="E42" s="406" t="s">
        <v>276</v>
      </c>
      <c r="G42" s="406"/>
      <c r="H42" s="406"/>
      <c r="I42" s="406"/>
      <c r="J42" s="407" t="s">
        <v>711</v>
      </c>
      <c r="K42" s="406"/>
      <c r="L42" s="406" t="s">
        <v>712</v>
      </c>
      <c r="M42" s="407"/>
      <c r="N42" s="406"/>
    </row>
    <row r="43" spans="1:15" s="372" customFormat="1" ht="84" x14ac:dyDescent="0.5">
      <c r="A43" s="387">
        <v>26</v>
      </c>
      <c r="B43" s="388" t="s">
        <v>710</v>
      </c>
      <c r="C43" s="391">
        <v>400000000</v>
      </c>
      <c r="E43" s="389" t="s">
        <v>713</v>
      </c>
      <c r="G43" s="389"/>
      <c r="H43" s="389"/>
      <c r="I43" s="389"/>
      <c r="J43" s="390" t="s">
        <v>714</v>
      </c>
      <c r="K43" s="389"/>
      <c r="L43" s="389" t="s">
        <v>712</v>
      </c>
      <c r="M43" s="390"/>
      <c r="N43" s="389"/>
    </row>
    <row r="44" spans="1:15" s="287" customFormat="1" ht="84" x14ac:dyDescent="0.5">
      <c r="A44" s="190">
        <v>27</v>
      </c>
      <c r="B44" s="253" t="s">
        <v>710</v>
      </c>
      <c r="C44" s="386">
        <v>400000000</v>
      </c>
      <c r="E44" s="289" t="s">
        <v>713</v>
      </c>
      <c r="G44" s="289"/>
      <c r="H44" s="289"/>
      <c r="I44" s="289"/>
      <c r="J44" s="244" t="s">
        <v>714</v>
      </c>
      <c r="K44" s="289"/>
      <c r="L44" s="289" t="s">
        <v>712</v>
      </c>
      <c r="M44" s="244"/>
      <c r="N44" s="289"/>
    </row>
    <row r="45" spans="1:15" s="287" customFormat="1" ht="63" x14ac:dyDescent="0.5">
      <c r="A45" s="190">
        <v>29</v>
      </c>
      <c r="B45" s="253" t="s">
        <v>715</v>
      </c>
      <c r="C45" s="386">
        <v>2000000000</v>
      </c>
      <c r="E45" s="289" t="s">
        <v>716</v>
      </c>
      <c r="G45" s="289"/>
      <c r="H45" s="289"/>
      <c r="I45" s="289"/>
      <c r="J45" s="244" t="s">
        <v>717</v>
      </c>
      <c r="K45" s="289"/>
      <c r="L45" s="289"/>
      <c r="M45" s="244"/>
      <c r="N45" s="289"/>
    </row>
    <row r="46" spans="1:15" s="372" customFormat="1" ht="63" x14ac:dyDescent="0.5">
      <c r="A46" s="363">
        <v>31</v>
      </c>
      <c r="B46" s="364" t="s">
        <v>715</v>
      </c>
      <c r="C46" s="377">
        <v>2000000000</v>
      </c>
      <c r="D46" s="367"/>
      <c r="E46" s="364" t="s">
        <v>718</v>
      </c>
      <c r="F46" s="367"/>
      <c r="G46" s="368"/>
      <c r="H46" s="368"/>
      <c r="I46" s="368"/>
      <c r="J46" s="369" t="s">
        <v>717</v>
      </c>
      <c r="K46" s="368"/>
      <c r="L46" s="368"/>
      <c r="M46" s="369"/>
      <c r="N46" s="368"/>
    </row>
    <row r="47" spans="1:15" s="287" customFormat="1" ht="126" x14ac:dyDescent="0.5">
      <c r="A47" s="60">
        <v>37</v>
      </c>
      <c r="B47" s="118" t="s">
        <v>719</v>
      </c>
      <c r="C47" s="395">
        <v>23000000</v>
      </c>
      <c r="D47" s="393"/>
      <c r="E47" s="394" t="s">
        <v>720</v>
      </c>
      <c r="F47" s="393"/>
      <c r="G47" s="394"/>
      <c r="H47" s="394"/>
      <c r="I47" s="394"/>
      <c r="J47" s="57" t="s">
        <v>721</v>
      </c>
      <c r="K47" s="394"/>
      <c r="L47" s="394"/>
      <c r="M47" s="57"/>
      <c r="N47" s="394"/>
      <c r="O47" s="392"/>
    </row>
    <row r="48" spans="1:15" s="398" customFormat="1" ht="63" x14ac:dyDescent="0.5">
      <c r="A48" s="396">
        <v>40</v>
      </c>
      <c r="B48" s="404" t="s">
        <v>722</v>
      </c>
      <c r="E48" s="406" t="s">
        <v>723</v>
      </c>
      <c r="G48" s="406"/>
      <c r="H48" s="406"/>
      <c r="I48" s="406"/>
      <c r="J48" s="397" t="s">
        <v>724</v>
      </c>
      <c r="K48" s="406"/>
      <c r="L48" s="406"/>
      <c r="M48" s="407"/>
      <c r="N48" s="406"/>
    </row>
    <row r="49" spans="1:14" s="382" customFormat="1" ht="84" x14ac:dyDescent="0.5">
      <c r="A49" s="380">
        <v>13</v>
      </c>
      <c r="B49" s="381" t="s">
        <v>725</v>
      </c>
      <c r="C49" s="413">
        <v>15000000000</v>
      </c>
      <c r="E49" s="383" t="s">
        <v>726</v>
      </c>
      <c r="G49" s="383"/>
      <c r="H49" s="383" t="s">
        <v>727</v>
      </c>
      <c r="I49" s="383"/>
      <c r="J49" s="384"/>
      <c r="K49" s="383"/>
      <c r="L49" s="383"/>
      <c r="M49" s="384" t="s">
        <v>686</v>
      </c>
      <c r="N49" s="383"/>
    </row>
    <row r="50" spans="1:14" s="287" customFormat="1" ht="21" x14ac:dyDescent="0.5">
      <c r="A50" s="190">
        <v>18</v>
      </c>
      <c r="B50" s="253" t="s">
        <v>728</v>
      </c>
      <c r="C50" s="416">
        <v>93200000</v>
      </c>
      <c r="E50" s="289" t="s">
        <v>729</v>
      </c>
      <c r="G50" s="289"/>
      <c r="H50" s="289" t="s">
        <v>730</v>
      </c>
      <c r="I50" s="289"/>
      <c r="J50" s="244"/>
      <c r="K50" s="289"/>
      <c r="L50" s="289"/>
      <c r="M50" s="190" t="s">
        <v>686</v>
      </c>
      <c r="N50" s="289"/>
    </row>
    <row r="51" spans="1:14" s="287" customFormat="1" ht="21" x14ac:dyDescent="0.5">
      <c r="A51" s="190">
        <v>19</v>
      </c>
      <c r="B51" s="253" t="s">
        <v>731</v>
      </c>
      <c r="C51" s="416">
        <v>52286400</v>
      </c>
      <c r="E51" s="289" t="s">
        <v>729</v>
      </c>
      <c r="G51" s="289"/>
      <c r="H51" s="289"/>
      <c r="I51" s="289"/>
      <c r="J51" s="244"/>
      <c r="K51" s="289"/>
      <c r="L51" s="289"/>
      <c r="M51" s="190" t="s">
        <v>686</v>
      </c>
      <c r="N51" s="289"/>
    </row>
    <row r="52" spans="1:14" s="382" customFormat="1" ht="105" x14ac:dyDescent="0.5">
      <c r="A52" s="380">
        <v>22</v>
      </c>
      <c r="B52" s="381" t="s">
        <v>732</v>
      </c>
      <c r="C52" s="419">
        <v>500000000</v>
      </c>
      <c r="E52" s="420" t="s">
        <v>703</v>
      </c>
      <c r="G52" s="383"/>
      <c r="H52" s="383" t="s">
        <v>733</v>
      </c>
      <c r="I52" s="383"/>
      <c r="J52" s="384"/>
      <c r="K52" s="383"/>
      <c r="L52" s="383" t="s">
        <v>705</v>
      </c>
      <c r="M52" s="384"/>
      <c r="N52" s="383"/>
    </row>
    <row r="53" spans="1:14" s="287" customFormat="1" ht="105" x14ac:dyDescent="0.5">
      <c r="A53" s="190">
        <v>20</v>
      </c>
      <c r="B53" s="253" t="s">
        <v>734</v>
      </c>
      <c r="C53" s="416">
        <v>9124500000</v>
      </c>
      <c r="E53" s="289" t="s">
        <v>735</v>
      </c>
      <c r="G53" s="289"/>
      <c r="H53" s="289" t="s">
        <v>736</v>
      </c>
      <c r="I53" s="289"/>
      <c r="J53" s="244"/>
      <c r="K53" s="289"/>
      <c r="L53" s="417">
        <v>45017</v>
      </c>
      <c r="M53" s="190" t="s">
        <v>686</v>
      </c>
      <c r="N53" s="289"/>
    </row>
    <row r="54" spans="1:14" s="372" customFormat="1" ht="63" x14ac:dyDescent="0.5">
      <c r="A54" s="363">
        <v>26</v>
      </c>
      <c r="B54" s="364" t="s">
        <v>737</v>
      </c>
      <c r="C54" s="365">
        <v>12000000</v>
      </c>
      <c r="D54" s="367"/>
      <c r="E54" s="364" t="s">
        <v>738</v>
      </c>
      <c r="F54" s="367"/>
      <c r="G54" s="368"/>
      <c r="H54" s="368" t="s">
        <v>739</v>
      </c>
      <c r="I54" s="368"/>
      <c r="J54" s="369"/>
      <c r="K54" s="368"/>
      <c r="L54" s="368"/>
      <c r="M54" s="369"/>
      <c r="N54" s="368"/>
    </row>
    <row r="55" spans="1:14" s="287" customFormat="1" ht="168" x14ac:dyDescent="0.5">
      <c r="A55" s="60">
        <v>30</v>
      </c>
      <c r="B55" s="255" t="s">
        <v>740</v>
      </c>
      <c r="C55" s="415"/>
      <c r="D55" s="341"/>
      <c r="E55" s="294" t="s">
        <v>741</v>
      </c>
      <c r="F55" s="341"/>
      <c r="G55" s="294"/>
      <c r="H55" s="294"/>
      <c r="I55" s="294"/>
      <c r="J55" s="97" t="s">
        <v>742</v>
      </c>
      <c r="K55" s="294"/>
      <c r="L55" s="294"/>
      <c r="M55" s="97"/>
      <c r="N55" s="294"/>
    </row>
    <row r="56" spans="1:14" s="287" customFormat="1" ht="84" x14ac:dyDescent="0.5">
      <c r="A56" s="60">
        <v>31</v>
      </c>
      <c r="B56" s="118" t="s">
        <v>743</v>
      </c>
      <c r="E56" s="289" t="s">
        <v>421</v>
      </c>
      <c r="G56" s="289"/>
      <c r="H56" s="289"/>
      <c r="I56" s="289"/>
      <c r="J56" s="244" t="s">
        <v>744</v>
      </c>
      <c r="K56" s="289"/>
      <c r="L56" s="289"/>
      <c r="M56" s="244"/>
      <c r="N56" s="289"/>
    </row>
    <row r="57" spans="1:14" s="372" customFormat="1" ht="84" x14ac:dyDescent="0.5">
      <c r="A57" s="363">
        <v>25</v>
      </c>
      <c r="B57" s="364" t="s">
        <v>743</v>
      </c>
      <c r="C57" s="377">
        <f>715537600+356584000</f>
        <v>1072121600</v>
      </c>
      <c r="D57" s="367"/>
      <c r="E57" s="364" t="s">
        <v>738</v>
      </c>
      <c r="F57" s="367"/>
      <c r="G57" s="368"/>
      <c r="H57" s="368" t="s">
        <v>745</v>
      </c>
      <c r="I57" s="368"/>
      <c r="J57" s="369"/>
      <c r="K57" s="368"/>
      <c r="L57" s="368"/>
      <c r="M57" s="369"/>
      <c r="N57" s="368"/>
    </row>
    <row r="58" spans="1:14" s="382" customFormat="1" ht="105" x14ac:dyDescent="0.5">
      <c r="A58" s="380">
        <v>35</v>
      </c>
      <c r="B58" s="381" t="s">
        <v>746</v>
      </c>
      <c r="C58" s="419">
        <v>1517000000</v>
      </c>
      <c r="E58" s="420" t="s">
        <v>747</v>
      </c>
      <c r="G58" s="383"/>
      <c r="H58" s="383" t="s">
        <v>748</v>
      </c>
      <c r="I58" s="383"/>
      <c r="J58" s="384"/>
      <c r="K58" s="383"/>
      <c r="L58" s="383"/>
      <c r="M58" s="384"/>
      <c r="N58" s="383"/>
    </row>
    <row r="59" spans="1:14" s="287" customFormat="1" ht="147" x14ac:dyDescent="0.5">
      <c r="A59" s="190">
        <v>36</v>
      </c>
      <c r="B59" s="253" t="s">
        <v>749</v>
      </c>
      <c r="E59" s="291" t="s">
        <v>750</v>
      </c>
      <c r="G59" s="289"/>
      <c r="H59" s="289" t="s">
        <v>751</v>
      </c>
      <c r="I59" s="289"/>
      <c r="J59" s="244"/>
      <c r="K59" s="289"/>
      <c r="L59" s="289"/>
      <c r="M59" s="244"/>
      <c r="N59" s="289"/>
    </row>
    <row r="60" spans="1:14" s="382" customFormat="1" ht="189" x14ac:dyDescent="0.5">
      <c r="A60" s="380">
        <v>10</v>
      </c>
      <c r="B60" s="399" t="s">
        <v>752</v>
      </c>
      <c r="C60" s="412">
        <v>6000000000</v>
      </c>
      <c r="D60" s="400"/>
      <c r="E60" s="411" t="s">
        <v>726</v>
      </c>
      <c r="F60" s="400"/>
      <c r="G60" s="401"/>
      <c r="H60" s="401"/>
      <c r="I60" s="401"/>
      <c r="J60" s="402" t="s">
        <v>753</v>
      </c>
      <c r="K60" s="401"/>
      <c r="L60" s="402" t="s">
        <v>754</v>
      </c>
      <c r="M60" s="402" t="s">
        <v>686</v>
      </c>
      <c r="N60" s="401"/>
    </row>
    <row r="61" spans="1:14" s="287" customFormat="1" ht="63" x14ac:dyDescent="0.5">
      <c r="A61" s="190">
        <v>22</v>
      </c>
      <c r="B61" s="253" t="s">
        <v>755</v>
      </c>
      <c r="C61" s="379">
        <v>1999689000</v>
      </c>
      <c r="E61" s="289" t="s">
        <v>756</v>
      </c>
      <c r="G61" s="289"/>
      <c r="H61" s="289"/>
      <c r="I61" s="289"/>
      <c r="J61" s="244" t="s">
        <v>757</v>
      </c>
      <c r="K61" s="289"/>
      <c r="L61" s="289"/>
      <c r="M61" s="244"/>
      <c r="N61" s="289"/>
    </row>
    <row r="62" spans="1:14" s="287" customFormat="1" ht="42" x14ac:dyDescent="0.5">
      <c r="A62" s="190">
        <v>17</v>
      </c>
      <c r="B62" s="253" t="s">
        <v>758</v>
      </c>
      <c r="C62" s="418">
        <v>12821163700</v>
      </c>
      <c r="E62" s="291" t="s">
        <v>759</v>
      </c>
      <c r="G62" s="289"/>
      <c r="H62" s="289"/>
      <c r="I62" s="289"/>
      <c r="J62" s="244" t="s">
        <v>760</v>
      </c>
      <c r="K62" s="289"/>
      <c r="L62" s="289"/>
      <c r="M62" s="244"/>
      <c r="N62" s="289"/>
    </row>
    <row r="63" spans="1:14" s="287" customFormat="1" ht="357" x14ac:dyDescent="0.5">
      <c r="A63" s="190">
        <v>18</v>
      </c>
      <c r="B63" s="255" t="s">
        <v>761</v>
      </c>
      <c r="C63" s="243">
        <v>16618600</v>
      </c>
      <c r="D63" s="341"/>
      <c r="E63" s="97" t="s">
        <v>762</v>
      </c>
      <c r="F63" s="341"/>
      <c r="G63" s="294"/>
      <c r="H63" s="294"/>
      <c r="I63" s="294"/>
      <c r="J63" s="97" t="s">
        <v>763</v>
      </c>
      <c r="K63" s="294"/>
      <c r="L63" s="294"/>
      <c r="M63" s="97"/>
      <c r="N63" s="294"/>
    </row>
    <row r="64" spans="1:14" s="287" customFormat="1" ht="189" x14ac:dyDescent="0.5">
      <c r="A64" s="190">
        <v>21</v>
      </c>
      <c r="B64" s="253" t="s">
        <v>764</v>
      </c>
      <c r="C64" s="288">
        <v>1048280200</v>
      </c>
      <c r="E64" s="291" t="s">
        <v>765</v>
      </c>
      <c r="G64" s="289"/>
      <c r="H64" s="289"/>
      <c r="I64" s="289" t="s">
        <v>766</v>
      </c>
      <c r="J64" s="244" t="s">
        <v>767</v>
      </c>
      <c r="K64" s="289"/>
      <c r="L64" s="289"/>
      <c r="M64" s="244"/>
      <c r="N64" s="289"/>
    </row>
    <row r="65" spans="1:15" s="287" customFormat="1" ht="126" x14ac:dyDescent="0.5">
      <c r="A65" s="190">
        <v>25</v>
      </c>
      <c r="B65" s="253" t="s">
        <v>768</v>
      </c>
      <c r="C65" s="421">
        <v>231318300</v>
      </c>
      <c r="E65" s="289" t="s">
        <v>349</v>
      </c>
      <c r="G65" s="289"/>
      <c r="H65" s="289"/>
      <c r="I65" s="289"/>
      <c r="J65" s="244" t="s">
        <v>769</v>
      </c>
      <c r="K65" s="289"/>
      <c r="L65" s="289"/>
      <c r="M65" s="244"/>
      <c r="N65" s="289"/>
    </row>
    <row r="66" spans="1:15" s="287" customFormat="1" ht="84" x14ac:dyDescent="0.5">
      <c r="A66" s="190">
        <v>26</v>
      </c>
      <c r="B66" s="253" t="s">
        <v>770</v>
      </c>
      <c r="C66" s="421">
        <v>33415200</v>
      </c>
      <c r="E66" s="289" t="s">
        <v>164</v>
      </c>
      <c r="G66" s="289"/>
      <c r="H66" s="289"/>
      <c r="I66" s="289"/>
      <c r="J66" s="244" t="s">
        <v>771</v>
      </c>
      <c r="K66" s="289"/>
      <c r="L66" s="289"/>
      <c r="M66" s="244"/>
      <c r="N66" s="289"/>
    </row>
    <row r="67" spans="1:15" s="287" customFormat="1" ht="84" x14ac:dyDescent="0.5">
      <c r="A67" s="190">
        <v>27</v>
      </c>
      <c r="B67" s="253" t="s">
        <v>772</v>
      </c>
      <c r="C67" s="379">
        <v>933000</v>
      </c>
      <c r="E67" s="289" t="s">
        <v>773</v>
      </c>
      <c r="G67" s="289"/>
      <c r="H67" s="289"/>
      <c r="I67" s="289"/>
      <c r="J67" s="244"/>
      <c r="K67" s="289">
        <v>660</v>
      </c>
      <c r="L67" s="289"/>
      <c r="M67" s="244"/>
      <c r="N67" s="289"/>
    </row>
    <row r="68" spans="1:15" s="287" customFormat="1" ht="252" x14ac:dyDescent="0.5">
      <c r="A68" s="190">
        <v>35</v>
      </c>
      <c r="B68" s="253" t="s">
        <v>774</v>
      </c>
      <c r="C68" s="379">
        <v>403275000</v>
      </c>
      <c r="E68" s="291" t="s">
        <v>775</v>
      </c>
      <c r="G68" s="289"/>
      <c r="H68" s="244"/>
      <c r="I68" s="289"/>
      <c r="J68" s="244" t="s">
        <v>776</v>
      </c>
      <c r="K68" s="289"/>
      <c r="L68" s="289"/>
      <c r="M68" s="244"/>
      <c r="N68" s="289"/>
    </row>
    <row r="69" spans="1:15" s="287" customFormat="1" ht="126" x14ac:dyDescent="0.5">
      <c r="A69" s="190">
        <v>32</v>
      </c>
      <c r="B69" s="253" t="s">
        <v>777</v>
      </c>
      <c r="C69" s="421">
        <v>89258400</v>
      </c>
      <c r="E69" s="289" t="s">
        <v>778</v>
      </c>
      <c r="G69" s="289"/>
      <c r="H69" s="289"/>
      <c r="I69" s="289"/>
      <c r="J69" s="244" t="s">
        <v>779</v>
      </c>
      <c r="K69" s="289"/>
      <c r="L69" s="289"/>
      <c r="M69" s="244"/>
      <c r="N69" s="289"/>
    </row>
    <row r="70" spans="1:15" s="382" customFormat="1" ht="147" x14ac:dyDescent="0.5">
      <c r="A70" s="380">
        <v>17</v>
      </c>
      <c r="B70" s="399" t="s">
        <v>743</v>
      </c>
      <c r="C70" s="429">
        <f>660000000+270000000</f>
        <v>930000000</v>
      </c>
      <c r="D70" s="400"/>
      <c r="E70" s="399" t="s">
        <v>780</v>
      </c>
      <c r="F70" s="400"/>
      <c r="G70" s="401"/>
      <c r="H70" s="401"/>
      <c r="I70" s="401"/>
      <c r="J70" s="402" t="s">
        <v>781</v>
      </c>
      <c r="K70" s="401"/>
      <c r="L70" s="401"/>
      <c r="M70" s="402"/>
      <c r="N70" s="401"/>
    </row>
    <row r="71" spans="1:15" s="287" customFormat="1" ht="105" x14ac:dyDescent="0.5">
      <c r="A71" s="190">
        <v>19</v>
      </c>
      <c r="B71" s="253" t="s">
        <v>782</v>
      </c>
      <c r="C71" s="421">
        <v>89122300</v>
      </c>
      <c r="F71" s="253" t="s">
        <v>660</v>
      </c>
      <c r="H71" s="289"/>
      <c r="I71" s="289"/>
      <c r="J71" s="289"/>
      <c r="K71" s="244" t="s">
        <v>783</v>
      </c>
      <c r="L71" s="289"/>
      <c r="M71" s="289"/>
      <c r="N71" s="244"/>
      <c r="O71" s="289"/>
    </row>
    <row r="72" spans="1:15" s="287" customFormat="1" ht="126" x14ac:dyDescent="0.5">
      <c r="A72" s="190">
        <v>24</v>
      </c>
      <c r="B72" s="253" t="s">
        <v>784</v>
      </c>
      <c r="C72" s="421">
        <v>38471700</v>
      </c>
      <c r="F72" s="291" t="s">
        <v>785</v>
      </c>
      <c r="H72" s="289"/>
      <c r="I72" s="289"/>
      <c r="J72" s="289"/>
      <c r="K72" s="244" t="s">
        <v>786</v>
      </c>
      <c r="L72" s="289"/>
      <c r="M72" s="289"/>
      <c r="N72" s="244"/>
      <c r="O72" s="289"/>
    </row>
    <row r="73" spans="1:15" s="287" customFormat="1" ht="147" x14ac:dyDescent="0.5">
      <c r="A73" s="190">
        <v>25</v>
      </c>
      <c r="B73" s="253" t="s">
        <v>787</v>
      </c>
      <c r="C73" s="386">
        <v>198548700</v>
      </c>
      <c r="F73" s="289" t="s">
        <v>298</v>
      </c>
      <c r="H73" s="289"/>
      <c r="I73" s="289"/>
      <c r="J73" s="289"/>
      <c r="K73" s="244" t="s">
        <v>788</v>
      </c>
      <c r="L73" s="289"/>
      <c r="M73" s="289"/>
      <c r="N73" s="244"/>
      <c r="O73" s="289"/>
    </row>
    <row r="74" spans="1:15" s="287" customFormat="1" ht="189" x14ac:dyDescent="0.5">
      <c r="A74" s="190">
        <v>21</v>
      </c>
      <c r="B74" s="253" t="s">
        <v>789</v>
      </c>
      <c r="C74" s="430">
        <v>14982300</v>
      </c>
      <c r="F74" s="291" t="s">
        <v>785</v>
      </c>
      <c r="H74" s="289"/>
      <c r="I74" s="289"/>
      <c r="J74" s="289"/>
      <c r="K74" s="244" t="s">
        <v>790</v>
      </c>
      <c r="L74" s="289"/>
      <c r="M74" s="289"/>
      <c r="N74" s="244"/>
      <c r="O74" s="289"/>
    </row>
    <row r="75" spans="1:15" s="287" customFormat="1" ht="147" x14ac:dyDescent="0.5">
      <c r="A75" s="190">
        <v>22</v>
      </c>
      <c r="B75" s="253" t="s">
        <v>791</v>
      </c>
      <c r="C75" s="430">
        <v>353792000</v>
      </c>
      <c r="F75" s="291" t="s">
        <v>792</v>
      </c>
      <c r="H75" s="289"/>
      <c r="I75" s="289"/>
      <c r="J75" s="289"/>
      <c r="K75" s="244" t="s">
        <v>793</v>
      </c>
      <c r="L75" s="289"/>
      <c r="M75" s="289"/>
      <c r="N75" s="244"/>
      <c r="O75" s="289"/>
    </row>
    <row r="76" spans="1:15" s="287" customFormat="1" ht="105" x14ac:dyDescent="0.5">
      <c r="A76" s="190">
        <v>20</v>
      </c>
      <c r="B76" s="253" t="s">
        <v>794</v>
      </c>
      <c r="C76" s="379">
        <f>575084800+562345200</f>
        <v>1137430000</v>
      </c>
      <c r="F76" s="289" t="s">
        <v>795</v>
      </c>
      <c r="H76" s="289"/>
      <c r="I76" s="289"/>
      <c r="J76" s="289"/>
      <c r="K76" s="244" t="s">
        <v>796</v>
      </c>
      <c r="L76" s="289"/>
      <c r="M76" s="289"/>
      <c r="N76" s="244"/>
      <c r="O76" s="289"/>
    </row>
    <row r="77" spans="1:15" s="343" customFormat="1" ht="336" x14ac:dyDescent="0.5">
      <c r="A77" s="305">
        <v>22</v>
      </c>
      <c r="B77" s="306" t="s">
        <v>797</v>
      </c>
      <c r="D77" s="431"/>
      <c r="E77" s="306" t="s">
        <v>798</v>
      </c>
      <c r="F77" s="309" t="s">
        <v>799</v>
      </c>
      <c r="H77" s="309"/>
      <c r="I77" s="309"/>
      <c r="J77" s="309"/>
      <c r="K77" s="308" t="s">
        <v>800</v>
      </c>
      <c r="L77" s="309"/>
      <c r="M77" s="309"/>
      <c r="N77" s="308"/>
      <c r="O77" s="309"/>
    </row>
    <row r="78" spans="1:15" s="287" customFormat="1" ht="63" x14ac:dyDescent="0.5">
      <c r="A78" s="60">
        <v>24</v>
      </c>
      <c r="B78" s="253" t="s">
        <v>801</v>
      </c>
      <c r="C78" s="379">
        <f>12062620570+2614614324</f>
        <v>14677234894</v>
      </c>
      <c r="F78" s="289" t="s">
        <v>802</v>
      </c>
      <c r="H78" s="289"/>
      <c r="I78" s="289"/>
      <c r="J78" s="289"/>
      <c r="K78" s="244" t="s">
        <v>803</v>
      </c>
      <c r="L78" s="289"/>
      <c r="M78" s="289"/>
      <c r="N78" s="244"/>
      <c r="O78" s="289"/>
    </row>
    <row r="79" spans="1:15" s="287" customFormat="1" ht="84" x14ac:dyDescent="0.5">
      <c r="A79" s="60">
        <v>25</v>
      </c>
      <c r="B79" s="253" t="s">
        <v>804</v>
      </c>
      <c r="C79" s="379">
        <v>113314100</v>
      </c>
      <c r="F79" s="289" t="s">
        <v>762</v>
      </c>
      <c r="H79" s="289"/>
      <c r="I79" s="289"/>
      <c r="J79" s="289"/>
      <c r="K79" s="244" t="s">
        <v>805</v>
      </c>
      <c r="L79" s="289"/>
      <c r="M79" s="289"/>
      <c r="N79" s="244"/>
      <c r="O79" s="289"/>
    </row>
    <row r="80" spans="1:15" s="382" customFormat="1" ht="294" x14ac:dyDescent="0.5">
      <c r="A80" s="432">
        <v>27</v>
      </c>
      <c r="B80" s="399" t="s">
        <v>806</v>
      </c>
      <c r="C80" s="400"/>
      <c r="D80" s="400"/>
      <c r="E80" s="400"/>
      <c r="F80" s="411" t="s">
        <v>271</v>
      </c>
      <c r="G80" s="400"/>
      <c r="H80" s="401"/>
      <c r="I80" s="401"/>
      <c r="J80" s="401"/>
      <c r="K80" s="402" t="s">
        <v>807</v>
      </c>
      <c r="L80" s="401"/>
      <c r="M80" s="401"/>
      <c r="N80" s="402"/>
      <c r="O80" s="401"/>
    </row>
    <row r="81" spans="1:15" s="287" customFormat="1" ht="84" x14ac:dyDescent="0.5">
      <c r="A81" s="190">
        <v>29</v>
      </c>
      <c r="B81" s="253" t="s">
        <v>808</v>
      </c>
      <c r="C81" s="386">
        <v>46128000</v>
      </c>
      <c r="F81" s="289" t="s">
        <v>809</v>
      </c>
      <c r="H81" s="289"/>
      <c r="I81" s="289"/>
      <c r="J81" s="289"/>
      <c r="K81" s="244" t="s">
        <v>810</v>
      </c>
      <c r="L81" s="289"/>
      <c r="M81" s="289"/>
      <c r="N81" s="244"/>
      <c r="O81" s="289"/>
    </row>
    <row r="82" spans="1:15" s="287" customFormat="1" ht="378" x14ac:dyDescent="0.5">
      <c r="A82" s="190">
        <v>15</v>
      </c>
      <c r="B82" s="253" t="s">
        <v>811</v>
      </c>
      <c r="C82" s="421">
        <v>250578300</v>
      </c>
      <c r="F82" s="253" t="s">
        <v>812</v>
      </c>
      <c r="H82" s="289"/>
      <c r="I82" s="289"/>
      <c r="J82" s="289"/>
      <c r="K82" s="244" t="s">
        <v>813</v>
      </c>
      <c r="L82" s="289"/>
      <c r="M82" s="289"/>
      <c r="N82" s="244"/>
      <c r="O82" s="289"/>
    </row>
    <row r="83" spans="1:15" s="287" customFormat="1" ht="126" x14ac:dyDescent="0.5">
      <c r="A83" s="190">
        <v>18</v>
      </c>
      <c r="B83" s="253" t="s">
        <v>784</v>
      </c>
      <c r="C83" s="421">
        <v>38471700</v>
      </c>
      <c r="F83" s="291" t="s">
        <v>814</v>
      </c>
      <c r="H83" s="289"/>
      <c r="I83" s="289"/>
      <c r="J83" s="289"/>
      <c r="K83" s="244" t="s">
        <v>815</v>
      </c>
      <c r="L83" s="289"/>
      <c r="M83" s="289"/>
      <c r="N83" s="244"/>
      <c r="O83" s="289"/>
    </row>
    <row r="85" spans="1:15" s="372" customFormat="1" ht="63" x14ac:dyDescent="0.5">
      <c r="A85" s="363">
        <v>19</v>
      </c>
      <c r="B85" s="364" t="s">
        <v>816</v>
      </c>
      <c r="C85" s="367"/>
      <c r="D85" s="367"/>
      <c r="E85" s="367"/>
      <c r="F85" s="368" t="s">
        <v>817</v>
      </c>
      <c r="G85" s="367"/>
      <c r="H85" s="368"/>
      <c r="I85" s="368"/>
      <c r="J85" s="368"/>
      <c r="K85" s="369" t="s">
        <v>818</v>
      </c>
      <c r="L85" s="368"/>
      <c r="M85" s="368"/>
      <c r="N85" s="439"/>
      <c r="O85" s="368"/>
    </row>
    <row r="86" spans="1:15" s="287" customFormat="1" ht="105" x14ac:dyDescent="0.5">
      <c r="A86" s="60">
        <v>20</v>
      </c>
      <c r="B86" s="255" t="s">
        <v>819</v>
      </c>
      <c r="C86" s="378">
        <v>1765861500</v>
      </c>
      <c r="D86" s="341"/>
      <c r="E86" s="341"/>
      <c r="F86" s="294" t="s">
        <v>820</v>
      </c>
      <c r="G86" s="341"/>
      <c r="H86" s="294"/>
      <c r="I86" s="294"/>
      <c r="J86" s="294"/>
      <c r="K86" s="97" t="s">
        <v>821</v>
      </c>
      <c r="L86" s="294"/>
      <c r="M86" s="294"/>
      <c r="N86" s="244"/>
      <c r="O86" s="289"/>
    </row>
    <row r="87" spans="1:15" s="434" customFormat="1" ht="210" x14ac:dyDescent="0.5">
      <c r="A87" s="60">
        <v>29</v>
      </c>
      <c r="B87" s="445" t="s">
        <v>822</v>
      </c>
      <c r="C87" s="450">
        <v>1138669700</v>
      </c>
      <c r="D87" s="446"/>
      <c r="E87" s="446" t="s">
        <v>279</v>
      </c>
      <c r="F87" s="447" t="s">
        <v>823</v>
      </c>
      <c r="G87" s="446"/>
      <c r="H87" s="447"/>
      <c r="I87" s="447" t="s">
        <v>824</v>
      </c>
      <c r="J87" s="447"/>
      <c r="K87" s="448" t="s">
        <v>825</v>
      </c>
      <c r="L87" s="447"/>
      <c r="M87" s="447"/>
      <c r="N87" s="436"/>
      <c r="O87" s="435"/>
    </row>
    <row r="88" spans="1:15" s="367" customFormat="1" ht="84" x14ac:dyDescent="0.5">
      <c r="A88" s="363">
        <v>30</v>
      </c>
      <c r="B88" s="364" t="s">
        <v>826</v>
      </c>
      <c r="C88" s="451"/>
      <c r="F88" s="368" t="s">
        <v>827</v>
      </c>
      <c r="H88" s="368"/>
      <c r="I88" s="368" t="s">
        <v>828</v>
      </c>
      <c r="J88" s="368"/>
      <c r="K88" s="369" t="s">
        <v>829</v>
      </c>
      <c r="L88" s="368"/>
      <c r="M88" s="368"/>
      <c r="N88" s="439"/>
      <c r="O88" s="368"/>
    </row>
    <row r="89" spans="1:15" s="287" customFormat="1" ht="357" x14ac:dyDescent="0.5">
      <c r="A89" s="190">
        <v>9</v>
      </c>
      <c r="B89" s="253" t="s">
        <v>830</v>
      </c>
      <c r="C89" s="418">
        <v>7675445460</v>
      </c>
      <c r="F89" s="291" t="s">
        <v>759</v>
      </c>
      <c r="H89" s="289"/>
      <c r="I89" s="289"/>
      <c r="J89" s="289"/>
      <c r="K89" s="244" t="s">
        <v>831</v>
      </c>
      <c r="L89" s="289"/>
      <c r="M89" s="289"/>
      <c r="N89" s="244"/>
      <c r="O89" s="289"/>
    </row>
    <row r="90" spans="1:15" s="287" customFormat="1" ht="210" x14ac:dyDescent="0.5">
      <c r="A90" s="190">
        <v>10</v>
      </c>
      <c r="B90" s="253" t="s">
        <v>832</v>
      </c>
      <c r="C90" s="418">
        <v>597489768</v>
      </c>
      <c r="F90" s="291" t="s">
        <v>759</v>
      </c>
      <c r="H90" s="289"/>
      <c r="I90" s="289"/>
      <c r="J90" s="289"/>
      <c r="K90" s="244" t="s">
        <v>833</v>
      </c>
      <c r="L90" s="289"/>
      <c r="M90" s="289"/>
      <c r="N90" s="244"/>
      <c r="O90" s="289"/>
    </row>
    <row r="91" spans="1:15" s="367" customFormat="1" ht="168" x14ac:dyDescent="0.5">
      <c r="A91" s="363">
        <v>32</v>
      </c>
      <c r="B91" s="364" t="s">
        <v>834</v>
      </c>
      <c r="C91" s="453">
        <v>2067646839</v>
      </c>
      <c r="E91" s="368" t="s">
        <v>835</v>
      </c>
      <c r="F91" s="368"/>
      <c r="H91" s="368"/>
      <c r="I91" s="368" t="s">
        <v>836</v>
      </c>
      <c r="J91" s="368"/>
      <c r="K91" s="369" t="s">
        <v>837</v>
      </c>
      <c r="L91" s="368"/>
      <c r="M91" s="368"/>
      <c r="N91" s="369"/>
      <c r="O91" s="368"/>
    </row>
    <row r="92" spans="1:15" s="287" customFormat="1" ht="84" x14ac:dyDescent="0.5">
      <c r="A92" s="60">
        <v>15</v>
      </c>
      <c r="B92" s="255" t="s">
        <v>838</v>
      </c>
      <c r="C92" s="341"/>
      <c r="D92" s="341"/>
      <c r="E92" s="341"/>
      <c r="F92" s="294" t="s">
        <v>839</v>
      </c>
      <c r="G92" s="341"/>
      <c r="H92" s="294"/>
      <c r="I92" s="294"/>
      <c r="J92" s="294"/>
      <c r="K92" s="97" t="s">
        <v>840</v>
      </c>
      <c r="L92" s="294"/>
      <c r="M92" s="294"/>
      <c r="N92" s="244"/>
      <c r="O92" s="289"/>
    </row>
    <row r="93" spans="1:15" s="287" customFormat="1" ht="105" x14ac:dyDescent="0.5">
      <c r="A93" s="60">
        <v>26</v>
      </c>
      <c r="B93" s="255" t="s">
        <v>822</v>
      </c>
      <c r="C93" s="341"/>
      <c r="D93" s="341"/>
      <c r="E93" s="341"/>
      <c r="F93" s="294" t="s">
        <v>841</v>
      </c>
      <c r="G93" s="341"/>
      <c r="H93" s="294"/>
      <c r="I93" s="294"/>
      <c r="J93" s="294"/>
      <c r="K93" s="97" t="s">
        <v>842</v>
      </c>
      <c r="L93" s="294"/>
      <c r="M93" s="294"/>
      <c r="N93" s="97"/>
      <c r="O93" s="294"/>
    </row>
    <row r="94" spans="1:15" s="287" customFormat="1" ht="63" x14ac:dyDescent="0.5">
      <c r="A94" s="60">
        <v>38</v>
      </c>
      <c r="B94" s="255" t="s">
        <v>843</v>
      </c>
      <c r="C94" s="341"/>
      <c r="D94" s="341"/>
      <c r="E94" s="341"/>
      <c r="F94" s="294" t="s">
        <v>844</v>
      </c>
      <c r="G94" s="341"/>
      <c r="H94" s="294"/>
      <c r="I94" s="294"/>
      <c r="J94" s="294"/>
      <c r="K94" s="97" t="s">
        <v>845</v>
      </c>
      <c r="L94" s="294"/>
      <c r="M94" s="294"/>
      <c r="N94" s="97"/>
      <c r="O94" s="294"/>
    </row>
    <row r="95" spans="1:15" s="372" customFormat="1" ht="105" x14ac:dyDescent="0.5">
      <c r="A95" s="363">
        <v>34</v>
      </c>
      <c r="B95" s="364" t="s">
        <v>846</v>
      </c>
      <c r="C95" s="365">
        <v>642842200</v>
      </c>
      <c r="D95" s="367"/>
      <c r="E95" s="367"/>
      <c r="F95" s="368" t="s">
        <v>847</v>
      </c>
      <c r="G95" s="367"/>
      <c r="H95" s="368"/>
      <c r="I95" s="368"/>
      <c r="J95" s="368"/>
      <c r="K95" s="369" t="s">
        <v>848</v>
      </c>
      <c r="L95" s="368"/>
      <c r="M95" s="368"/>
      <c r="N95" s="369"/>
      <c r="O95" s="368"/>
    </row>
    <row r="96" spans="1:15" s="287" customFormat="1" ht="63" x14ac:dyDescent="0.5">
      <c r="A96" s="60">
        <v>30</v>
      </c>
      <c r="B96" s="255" t="s">
        <v>849</v>
      </c>
      <c r="C96" s="341">
        <f>324795200+226476000</f>
        <v>551271200</v>
      </c>
      <c r="D96" s="341"/>
      <c r="E96" s="341"/>
      <c r="F96" s="294" t="s">
        <v>844</v>
      </c>
      <c r="G96" s="341"/>
      <c r="H96" s="294"/>
      <c r="I96" s="294" t="s">
        <v>850</v>
      </c>
      <c r="J96" s="294"/>
      <c r="K96" s="97" t="s">
        <v>845</v>
      </c>
      <c r="L96" s="294"/>
      <c r="M96" s="294"/>
      <c r="N96" s="97"/>
      <c r="O96" s="294"/>
    </row>
    <row r="97" spans="1:15" s="287" customFormat="1" ht="105" x14ac:dyDescent="0.5">
      <c r="A97" s="60">
        <v>31</v>
      </c>
      <c r="B97" s="255" t="s">
        <v>851</v>
      </c>
      <c r="C97" s="362">
        <f>226476000+389795700</f>
        <v>616271700</v>
      </c>
      <c r="D97" s="341"/>
      <c r="E97" s="341"/>
      <c r="F97" s="294" t="s">
        <v>852</v>
      </c>
      <c r="G97" s="341"/>
      <c r="H97" s="294"/>
      <c r="I97" s="294" t="s">
        <v>850</v>
      </c>
      <c r="J97" s="294"/>
      <c r="K97" s="97" t="s">
        <v>845</v>
      </c>
      <c r="L97" s="294"/>
      <c r="M97" s="294"/>
      <c r="N97" s="97"/>
      <c r="O97" s="294"/>
    </row>
    <row r="98" spans="1:15" s="287" customFormat="1" ht="105" x14ac:dyDescent="0.5">
      <c r="A98" s="60">
        <v>32</v>
      </c>
      <c r="B98" s="255" t="s">
        <v>851</v>
      </c>
      <c r="C98" s="362">
        <f>381386400+223365600</f>
        <v>604752000</v>
      </c>
      <c r="D98" s="341"/>
      <c r="E98" s="341"/>
      <c r="F98" s="294" t="s">
        <v>853</v>
      </c>
      <c r="G98" s="341"/>
      <c r="H98" s="294"/>
      <c r="I98" s="294" t="s">
        <v>854</v>
      </c>
      <c r="J98" s="294"/>
      <c r="K98" s="97" t="s">
        <v>845</v>
      </c>
      <c r="L98" s="294"/>
      <c r="M98" s="294"/>
      <c r="N98" s="97"/>
      <c r="O98" s="294"/>
    </row>
    <row r="99" spans="1:15" s="287" customFormat="1" ht="210" x14ac:dyDescent="0.5">
      <c r="A99" s="60">
        <v>28</v>
      </c>
      <c r="B99" s="346" t="s">
        <v>849</v>
      </c>
      <c r="C99" s="458">
        <f>308899400+223365600</f>
        <v>532265000</v>
      </c>
      <c r="D99" s="349"/>
      <c r="E99" s="349"/>
      <c r="F99" s="350" t="s">
        <v>853</v>
      </c>
      <c r="G99" s="349"/>
      <c r="H99" s="350"/>
      <c r="I99" s="294" t="s">
        <v>855</v>
      </c>
      <c r="J99" s="350"/>
      <c r="K99" s="348" t="s">
        <v>856</v>
      </c>
      <c r="L99" s="350"/>
      <c r="M99" s="350"/>
      <c r="N99" s="348"/>
      <c r="O99" s="350"/>
    </row>
    <row r="100" spans="1:15" s="341" customFormat="1" ht="189" x14ac:dyDescent="0.5">
      <c r="A100" s="60">
        <v>29</v>
      </c>
      <c r="B100" s="255" t="s">
        <v>843</v>
      </c>
      <c r="C100" s="362">
        <f>111553400+37227600</f>
        <v>148781000</v>
      </c>
      <c r="F100" s="294" t="s">
        <v>853</v>
      </c>
      <c r="H100" s="294"/>
      <c r="I100" s="294" t="s">
        <v>855</v>
      </c>
      <c r="J100" s="294"/>
      <c r="K100" s="348" t="s">
        <v>857</v>
      </c>
      <c r="L100" s="294"/>
      <c r="M100" s="294"/>
      <c r="N100" s="97"/>
      <c r="O100" s="294"/>
    </row>
    <row r="101" spans="1:15" s="341" customFormat="1" ht="126" x14ac:dyDescent="0.5">
      <c r="A101" s="60">
        <v>30</v>
      </c>
      <c r="B101" s="255" t="s">
        <v>858</v>
      </c>
      <c r="F101" s="294" t="s">
        <v>859</v>
      </c>
      <c r="H101" s="294"/>
      <c r="I101" s="61" t="s">
        <v>860</v>
      </c>
      <c r="J101" s="294"/>
      <c r="K101" s="97" t="s">
        <v>861</v>
      </c>
      <c r="L101" s="294"/>
      <c r="M101" s="294"/>
      <c r="N101" s="97"/>
      <c r="O101" s="294"/>
    </row>
    <row r="102" spans="1:15" s="367" customFormat="1" ht="126" x14ac:dyDescent="0.5">
      <c r="A102" s="363">
        <v>32</v>
      </c>
      <c r="B102" s="364" t="s">
        <v>858</v>
      </c>
      <c r="F102" s="368" t="s">
        <v>841</v>
      </c>
      <c r="H102" s="368"/>
      <c r="I102" s="368" t="s">
        <v>860</v>
      </c>
      <c r="J102" s="368"/>
      <c r="K102" s="369" t="s">
        <v>861</v>
      </c>
      <c r="L102" s="368"/>
      <c r="M102" s="368"/>
      <c r="N102" s="369"/>
      <c r="O102" s="368"/>
    </row>
    <row r="103" spans="1:15" s="367" customFormat="1" ht="63" x14ac:dyDescent="0.5">
      <c r="A103" s="363">
        <v>31</v>
      </c>
      <c r="B103" s="364" t="s">
        <v>862</v>
      </c>
      <c r="F103" s="368" t="s">
        <v>863</v>
      </c>
      <c r="H103" s="368"/>
      <c r="I103" s="368" t="s">
        <v>864</v>
      </c>
      <c r="J103" s="368"/>
      <c r="K103" s="369" t="s">
        <v>865</v>
      </c>
      <c r="L103" s="368"/>
      <c r="M103" s="368"/>
      <c r="N103" s="369"/>
      <c r="O103" s="368"/>
    </row>
    <row r="104" spans="1:15" s="372" customFormat="1" ht="336" x14ac:dyDescent="0.5">
      <c r="A104" s="363">
        <v>13</v>
      </c>
      <c r="B104" s="454" t="s">
        <v>866</v>
      </c>
      <c r="C104" s="367"/>
      <c r="D104" s="367"/>
      <c r="E104" s="364" t="s">
        <v>867</v>
      </c>
      <c r="F104" s="368" t="s">
        <v>868</v>
      </c>
      <c r="G104" s="367"/>
      <c r="H104" s="368"/>
      <c r="I104" s="410" t="s">
        <v>869</v>
      </c>
      <c r="J104" s="368"/>
      <c r="K104" s="369" t="s">
        <v>870</v>
      </c>
      <c r="L104" s="368"/>
      <c r="M104" s="368"/>
      <c r="N104" s="390"/>
      <c r="O104" s="389"/>
    </row>
    <row r="105" spans="1:15" s="372" customFormat="1" ht="210" x14ac:dyDescent="0.5">
      <c r="A105" s="363">
        <v>19</v>
      </c>
      <c r="B105" s="364" t="s">
        <v>871</v>
      </c>
      <c r="C105" s="367"/>
      <c r="D105" s="367"/>
      <c r="E105" s="367"/>
      <c r="F105" s="368" t="s">
        <v>872</v>
      </c>
      <c r="G105" s="367"/>
      <c r="H105" s="368"/>
      <c r="I105" s="368"/>
      <c r="J105" s="368"/>
      <c r="K105" s="369" t="s">
        <v>873</v>
      </c>
      <c r="L105" s="368"/>
      <c r="M105" s="368"/>
      <c r="N105" s="369"/>
      <c r="O105" s="368"/>
    </row>
    <row r="106" spans="1:15" s="367" customFormat="1" ht="84" x14ac:dyDescent="0.5">
      <c r="A106" s="363">
        <v>33</v>
      </c>
      <c r="B106" s="364" t="s">
        <v>874</v>
      </c>
      <c r="C106" s="490"/>
      <c r="F106" s="368" t="s">
        <v>875</v>
      </c>
      <c r="H106" s="368"/>
      <c r="I106" s="368"/>
      <c r="J106" s="368"/>
      <c r="K106" s="369" t="s">
        <v>876</v>
      </c>
      <c r="L106" s="368"/>
      <c r="M106" s="368"/>
      <c r="N106" s="369"/>
      <c r="O106" s="368"/>
    </row>
    <row r="107" spans="1:15" s="367" customFormat="1" ht="126" x14ac:dyDescent="0.5">
      <c r="A107" s="363">
        <v>10</v>
      </c>
      <c r="B107" s="364" t="s">
        <v>877</v>
      </c>
      <c r="D107" s="367" t="s">
        <v>878</v>
      </c>
      <c r="F107" s="368" t="s">
        <v>879</v>
      </c>
      <c r="H107" s="368"/>
      <c r="I107" s="368"/>
      <c r="J107" s="368"/>
      <c r="K107" s="369" t="s">
        <v>880</v>
      </c>
      <c r="L107" s="368"/>
      <c r="M107" s="368"/>
      <c r="N107" s="439"/>
      <c r="O107" s="368"/>
    </row>
    <row r="108" spans="1:15" s="341" customFormat="1" ht="252.75" customHeight="1" x14ac:dyDescent="0.5">
      <c r="A108" s="60">
        <v>33</v>
      </c>
      <c r="B108" s="255" t="s">
        <v>881</v>
      </c>
      <c r="C108" s="340">
        <v>2165032800</v>
      </c>
      <c r="E108" s="61"/>
      <c r="F108" s="61" t="s">
        <v>809</v>
      </c>
      <c r="H108" s="294"/>
      <c r="I108" s="294"/>
      <c r="J108" s="294"/>
      <c r="K108" s="97" t="s">
        <v>882</v>
      </c>
      <c r="L108" s="294"/>
      <c r="M108" s="294"/>
      <c r="N108" s="97"/>
      <c r="O108" s="294"/>
    </row>
    <row r="109" spans="1:15" s="367" customFormat="1" ht="252" x14ac:dyDescent="0.5">
      <c r="A109" s="363">
        <v>43</v>
      </c>
      <c r="B109" s="364" t="s">
        <v>883</v>
      </c>
      <c r="C109" s="376">
        <v>3500000000</v>
      </c>
      <c r="D109" s="376">
        <v>9000000000</v>
      </c>
      <c r="F109" s="410" t="s">
        <v>884</v>
      </c>
      <c r="H109" s="368"/>
      <c r="I109" s="368"/>
      <c r="J109" s="368"/>
      <c r="K109" s="369"/>
      <c r="L109" s="368"/>
      <c r="M109" s="368"/>
      <c r="N109" s="369"/>
      <c r="O109" s="368"/>
    </row>
    <row r="110" spans="1:15" s="367" customFormat="1" ht="147" x14ac:dyDescent="0.5">
      <c r="A110" s="363">
        <v>44</v>
      </c>
      <c r="B110" s="364" t="s">
        <v>885</v>
      </c>
      <c r="C110" s="376">
        <v>400000000</v>
      </c>
      <c r="D110" s="376">
        <v>1000000000</v>
      </c>
      <c r="F110" s="410" t="s">
        <v>884</v>
      </c>
      <c r="H110" s="368"/>
      <c r="I110" s="368"/>
      <c r="J110" s="368"/>
      <c r="K110" s="369"/>
      <c r="L110" s="368"/>
      <c r="M110" s="368"/>
      <c r="N110" s="369"/>
      <c r="O110" s="368"/>
    </row>
    <row r="111" spans="1:15" s="341" customFormat="1" ht="84" x14ac:dyDescent="0.5">
      <c r="A111" s="60">
        <v>42</v>
      </c>
      <c r="B111" s="255" t="s">
        <v>886</v>
      </c>
      <c r="C111" s="375">
        <v>500000000</v>
      </c>
      <c r="F111" s="294" t="s">
        <v>762</v>
      </c>
      <c r="H111" s="294"/>
      <c r="I111" s="294"/>
      <c r="J111" s="294"/>
      <c r="K111" s="97" t="s">
        <v>887</v>
      </c>
      <c r="L111" s="294"/>
      <c r="M111" s="294"/>
      <c r="N111" s="97"/>
      <c r="O111" s="294"/>
    </row>
    <row r="112" spans="1:15" s="367" customFormat="1" ht="63" x14ac:dyDescent="0.5">
      <c r="A112" s="363">
        <v>30</v>
      </c>
      <c r="B112" s="364" t="s">
        <v>888</v>
      </c>
      <c r="C112" s="543">
        <v>7200000000</v>
      </c>
      <c r="F112" s="368" t="s">
        <v>889</v>
      </c>
      <c r="H112" s="368"/>
      <c r="I112" s="368"/>
      <c r="J112" s="368"/>
      <c r="K112" s="369" t="s">
        <v>890</v>
      </c>
      <c r="L112" s="368"/>
      <c r="M112" s="368"/>
      <c r="N112" s="369"/>
      <c r="O112" s="368"/>
    </row>
    <row r="113" spans="1:15" s="372" customFormat="1" ht="168" x14ac:dyDescent="0.5">
      <c r="A113" s="363">
        <v>2</v>
      </c>
      <c r="B113" s="364" t="s">
        <v>891</v>
      </c>
      <c r="C113" s="376">
        <v>6657450500</v>
      </c>
      <c r="D113" s="367"/>
      <c r="E113" s="367"/>
      <c r="F113" s="368" t="s">
        <v>892</v>
      </c>
      <c r="G113" s="367"/>
      <c r="H113" s="368"/>
      <c r="I113" s="368"/>
      <c r="J113" s="368"/>
      <c r="K113" s="369" t="s">
        <v>893</v>
      </c>
      <c r="L113" s="368"/>
      <c r="M113" s="369" t="s">
        <v>894</v>
      </c>
      <c r="N113" s="369" t="s">
        <v>895</v>
      </c>
      <c r="O113" s="368"/>
    </row>
    <row r="114" spans="1:15" s="287" customFormat="1" ht="168" x14ac:dyDescent="0.5">
      <c r="A114" s="60">
        <v>3</v>
      </c>
      <c r="B114" s="255" t="s">
        <v>896</v>
      </c>
      <c r="C114" s="378">
        <v>1321316600</v>
      </c>
      <c r="D114" s="341"/>
      <c r="E114" s="341"/>
      <c r="F114" s="294" t="s">
        <v>892</v>
      </c>
      <c r="G114" s="341"/>
      <c r="H114" s="294"/>
      <c r="I114" s="294"/>
      <c r="J114" s="294"/>
      <c r="K114" s="97" t="s">
        <v>893</v>
      </c>
      <c r="L114" s="294"/>
      <c r="M114" s="97" t="s">
        <v>894</v>
      </c>
      <c r="N114" s="97" t="s">
        <v>897</v>
      </c>
      <c r="O114" s="294"/>
    </row>
    <row r="115" spans="1:15" s="341" customFormat="1" ht="147" x14ac:dyDescent="0.5">
      <c r="A115" s="60">
        <v>33</v>
      </c>
      <c r="B115" s="255" t="s">
        <v>898</v>
      </c>
      <c r="C115" s="375"/>
      <c r="F115" s="294" t="s">
        <v>899</v>
      </c>
      <c r="H115" s="294"/>
      <c r="I115" s="294"/>
      <c r="J115" s="294"/>
      <c r="K115" s="97" t="s">
        <v>900</v>
      </c>
      <c r="L115" s="294"/>
      <c r="M115" s="294"/>
      <c r="N115" s="97"/>
      <c r="O115" s="294"/>
    </row>
    <row r="116" spans="1:15" s="341" customFormat="1" ht="147" x14ac:dyDescent="0.5">
      <c r="A116" s="60">
        <v>23</v>
      </c>
      <c r="B116" s="255" t="s">
        <v>901</v>
      </c>
      <c r="C116" s="375">
        <v>319086500</v>
      </c>
      <c r="F116" s="294" t="s">
        <v>902</v>
      </c>
      <c r="H116" s="294"/>
      <c r="I116" s="97" t="s">
        <v>903</v>
      </c>
      <c r="J116" s="294"/>
      <c r="K116" s="97" t="s">
        <v>904</v>
      </c>
      <c r="L116" s="294"/>
      <c r="M116" s="294"/>
      <c r="N116" s="97"/>
      <c r="O116" s="294"/>
    </row>
    <row r="117" spans="1:15" s="341" customFormat="1" ht="63" x14ac:dyDescent="0.5">
      <c r="A117" s="60">
        <v>28</v>
      </c>
      <c r="B117" s="255" t="s">
        <v>905</v>
      </c>
      <c r="C117" s="375">
        <v>150349200</v>
      </c>
      <c r="F117" s="294" t="s">
        <v>906</v>
      </c>
      <c r="H117" s="294"/>
      <c r="I117" s="97" t="s">
        <v>907</v>
      </c>
      <c r="J117" s="294"/>
      <c r="K117" s="97" t="s">
        <v>908</v>
      </c>
      <c r="L117" s="294"/>
      <c r="M117" s="294"/>
      <c r="N117" s="97"/>
      <c r="O117" s="294"/>
    </row>
    <row r="118" spans="1:15" s="367" customFormat="1" ht="63" x14ac:dyDescent="0.5">
      <c r="A118" s="363">
        <v>27</v>
      </c>
      <c r="B118" s="364" t="s">
        <v>909</v>
      </c>
      <c r="F118" s="368" t="s">
        <v>910</v>
      </c>
      <c r="H118" s="368"/>
      <c r="I118" s="369" t="s">
        <v>911</v>
      </c>
      <c r="J118" s="368"/>
      <c r="K118" s="369" t="s">
        <v>912</v>
      </c>
      <c r="L118" s="368"/>
      <c r="M118" s="368"/>
      <c r="N118" s="369"/>
      <c r="O118" s="368"/>
    </row>
    <row r="119" spans="1:15" s="287" customFormat="1" ht="252" x14ac:dyDescent="0.5">
      <c r="A119" s="190">
        <v>37</v>
      </c>
      <c r="B119" s="253" t="s">
        <v>913</v>
      </c>
      <c r="C119" s="386">
        <v>41187000</v>
      </c>
      <c r="F119" s="291" t="s">
        <v>914</v>
      </c>
      <c r="H119" s="289"/>
      <c r="I119" s="289" t="s">
        <v>915</v>
      </c>
      <c r="J119" s="289"/>
      <c r="K119" s="244" t="s">
        <v>916</v>
      </c>
      <c r="L119" s="289"/>
      <c r="M119" s="289"/>
      <c r="N119" s="244"/>
      <c r="O119" s="289"/>
    </row>
    <row r="120" spans="1:15" s="287" customFormat="1" ht="84" x14ac:dyDescent="0.5">
      <c r="A120" s="190">
        <v>41</v>
      </c>
      <c r="B120" s="253" t="s">
        <v>917</v>
      </c>
      <c r="C120" s="386">
        <v>1653990600</v>
      </c>
      <c r="F120" s="289" t="s">
        <v>918</v>
      </c>
      <c r="H120" s="289"/>
      <c r="I120" s="244" t="s">
        <v>919</v>
      </c>
      <c r="J120" s="289"/>
      <c r="K120" s="244" t="s">
        <v>920</v>
      </c>
      <c r="L120" s="289"/>
      <c r="M120" s="289"/>
      <c r="N120" s="244"/>
      <c r="O120" s="289"/>
    </row>
    <row r="121" spans="1:15" s="287" customFormat="1" ht="63" x14ac:dyDescent="0.5">
      <c r="A121" s="190">
        <v>42</v>
      </c>
      <c r="B121" s="253" t="s">
        <v>921</v>
      </c>
      <c r="C121" s="386">
        <v>431114700</v>
      </c>
      <c r="F121" s="289" t="s">
        <v>922</v>
      </c>
      <c r="H121" s="289"/>
      <c r="I121" s="244" t="s">
        <v>919</v>
      </c>
      <c r="J121" s="289"/>
      <c r="K121" s="244" t="s">
        <v>920</v>
      </c>
      <c r="L121" s="289"/>
      <c r="M121" s="289"/>
      <c r="N121" s="244"/>
      <c r="O121" s="289"/>
    </row>
    <row r="122" spans="1:15" s="287" customFormat="1" ht="42" x14ac:dyDescent="0.5">
      <c r="A122" s="190">
        <v>43</v>
      </c>
      <c r="B122" s="253" t="s">
        <v>923</v>
      </c>
      <c r="C122" s="386">
        <v>1653990600</v>
      </c>
      <c r="F122" s="289" t="s">
        <v>922</v>
      </c>
      <c r="H122" s="289"/>
      <c r="I122" s="244" t="s">
        <v>919</v>
      </c>
      <c r="J122" s="289"/>
      <c r="K122" s="244"/>
      <c r="L122" s="289"/>
      <c r="M122" s="289"/>
      <c r="N122" s="244"/>
      <c r="O122" s="289"/>
    </row>
    <row r="123" spans="1:15" s="372" customFormat="1" ht="63" x14ac:dyDescent="0.5">
      <c r="A123" s="387">
        <v>45</v>
      </c>
      <c r="B123" s="388" t="s">
        <v>924</v>
      </c>
      <c r="D123" s="372" t="s">
        <v>925</v>
      </c>
      <c r="F123" s="389" t="s">
        <v>926</v>
      </c>
      <c r="H123" s="389" t="s">
        <v>927</v>
      </c>
      <c r="I123" s="389"/>
      <c r="J123" s="389"/>
      <c r="K123" s="390" t="s">
        <v>928</v>
      </c>
      <c r="L123" s="389"/>
      <c r="M123" s="389"/>
      <c r="N123" s="390"/>
      <c r="O123" s="389"/>
    </row>
    <row r="124" spans="1:15" s="341" customFormat="1" ht="126" x14ac:dyDescent="0.5">
      <c r="A124" s="60">
        <v>20</v>
      </c>
      <c r="B124" s="255" t="s">
        <v>929</v>
      </c>
      <c r="C124" s="375">
        <v>68979000</v>
      </c>
      <c r="F124" s="294" t="s">
        <v>930</v>
      </c>
      <c r="H124" s="294"/>
      <c r="I124" s="97" t="s">
        <v>931</v>
      </c>
      <c r="J124" s="294"/>
      <c r="K124" s="97" t="s">
        <v>932</v>
      </c>
      <c r="L124" s="294"/>
      <c r="M124" s="294"/>
      <c r="N124" s="97"/>
      <c r="O124" s="294"/>
    </row>
    <row r="125" spans="1:15" s="287" customFormat="1" ht="105" x14ac:dyDescent="0.5">
      <c r="A125" s="60">
        <v>31</v>
      </c>
      <c r="B125" s="255" t="s">
        <v>933</v>
      </c>
      <c r="C125" s="378">
        <v>200553400</v>
      </c>
      <c r="D125" s="341"/>
      <c r="E125" s="341"/>
      <c r="F125" s="294" t="s">
        <v>934</v>
      </c>
      <c r="G125" s="341"/>
      <c r="H125" s="294"/>
      <c r="I125" s="97" t="s">
        <v>935</v>
      </c>
      <c r="J125" s="294"/>
      <c r="K125" s="97" t="s">
        <v>936</v>
      </c>
      <c r="L125" s="294"/>
      <c r="M125" s="294"/>
      <c r="N125" s="97"/>
      <c r="O125" s="294"/>
    </row>
    <row r="126" spans="1:15" s="287" customFormat="1" ht="126" x14ac:dyDescent="0.5">
      <c r="A126" s="60">
        <v>35</v>
      </c>
      <c r="B126" s="255" t="s">
        <v>937</v>
      </c>
      <c r="C126" s="378">
        <v>2602219700</v>
      </c>
      <c r="D126" s="341"/>
      <c r="E126" s="341"/>
      <c r="F126" s="97" t="s">
        <v>938</v>
      </c>
      <c r="G126" s="341"/>
      <c r="H126" s="294"/>
      <c r="I126" s="97" t="s">
        <v>939</v>
      </c>
      <c r="J126" s="294"/>
      <c r="K126" s="97" t="s">
        <v>940</v>
      </c>
      <c r="L126" s="294"/>
      <c r="M126" s="294"/>
      <c r="N126" s="97"/>
      <c r="O126" s="294"/>
    </row>
    <row r="127" spans="1:15" s="341" customFormat="1" ht="210" x14ac:dyDescent="0.5">
      <c r="A127" s="60">
        <v>19</v>
      </c>
      <c r="B127" s="255" t="s">
        <v>941</v>
      </c>
      <c r="C127" s="375">
        <f>309148700+745205604</f>
        <v>1054354304</v>
      </c>
      <c r="F127" s="294" t="s">
        <v>942</v>
      </c>
      <c r="H127" s="294"/>
      <c r="I127" s="97" t="s">
        <v>943</v>
      </c>
      <c r="J127" s="294"/>
      <c r="K127" s="97" t="s">
        <v>944</v>
      </c>
      <c r="L127" s="294"/>
      <c r="M127" s="294"/>
      <c r="N127" s="97"/>
      <c r="O127" s="294"/>
    </row>
    <row r="128" spans="1:15" s="372" customFormat="1" ht="147" x14ac:dyDescent="0.5">
      <c r="A128" s="363">
        <v>27</v>
      </c>
      <c r="B128" s="364" t="s">
        <v>334</v>
      </c>
      <c r="C128" s="365">
        <v>2318307208</v>
      </c>
      <c r="D128" s="367"/>
      <c r="E128" s="367"/>
      <c r="F128" s="410" t="s">
        <v>113</v>
      </c>
      <c r="G128" s="367"/>
      <c r="H128" s="368"/>
      <c r="I128" s="369" t="s">
        <v>335</v>
      </c>
      <c r="J128" s="368"/>
      <c r="K128" s="369" t="s">
        <v>945</v>
      </c>
      <c r="L128" s="368"/>
      <c r="M128" s="368"/>
      <c r="N128" s="369"/>
      <c r="O128" s="368"/>
    </row>
    <row r="129" spans="1:15" s="341" customFormat="1" ht="105" x14ac:dyDescent="0.5">
      <c r="A129" s="60">
        <v>19</v>
      </c>
      <c r="B129" s="255" t="s">
        <v>305</v>
      </c>
      <c r="C129" s="375">
        <v>5982203000</v>
      </c>
      <c r="F129" s="294" t="s">
        <v>306</v>
      </c>
      <c r="H129" s="294"/>
      <c r="I129" s="97" t="s">
        <v>307</v>
      </c>
      <c r="J129" s="294"/>
      <c r="K129" s="97" t="s">
        <v>946</v>
      </c>
      <c r="L129" s="294"/>
      <c r="M129" s="294"/>
      <c r="N129" s="97"/>
      <c r="O129" s="294"/>
    </row>
    <row r="130" spans="1:15" s="341" customFormat="1" ht="63" x14ac:dyDescent="0.5">
      <c r="A130" s="60">
        <v>21</v>
      </c>
      <c r="B130" s="255" t="s">
        <v>316</v>
      </c>
      <c r="C130" s="375">
        <v>50000000</v>
      </c>
      <c r="D130" s="63" t="s">
        <v>246</v>
      </c>
      <c r="F130" s="61" t="s">
        <v>284</v>
      </c>
      <c r="H130" s="294"/>
      <c r="I130" s="97" t="s">
        <v>317</v>
      </c>
      <c r="J130" s="294"/>
      <c r="K130" s="97" t="s">
        <v>947</v>
      </c>
      <c r="L130" s="294"/>
      <c r="M130" s="294"/>
      <c r="N130" s="97"/>
      <c r="O130" s="294"/>
    </row>
    <row r="131" spans="1:15" s="287" customFormat="1" ht="126" x14ac:dyDescent="0.5">
      <c r="A131" s="60">
        <v>28</v>
      </c>
      <c r="B131" s="255" t="s">
        <v>345</v>
      </c>
      <c r="C131" s="362">
        <v>1995973400</v>
      </c>
      <c r="D131" s="341"/>
      <c r="E131" s="341"/>
      <c r="F131" s="97" t="s">
        <v>346</v>
      </c>
      <c r="G131" s="341"/>
      <c r="H131" s="294"/>
      <c r="I131" s="97"/>
      <c r="J131" s="294"/>
      <c r="K131" s="97" t="s">
        <v>948</v>
      </c>
      <c r="L131" s="294"/>
      <c r="M131" s="294"/>
      <c r="N131" s="97"/>
      <c r="O131" s="294"/>
    </row>
    <row r="132" spans="1:15" s="287" customFormat="1" ht="84" x14ac:dyDescent="0.5">
      <c r="A132" s="60">
        <v>29</v>
      </c>
      <c r="B132" s="255" t="s">
        <v>353</v>
      </c>
      <c r="C132" s="378">
        <v>281838100</v>
      </c>
      <c r="D132" s="341"/>
      <c r="E132" s="341"/>
      <c r="F132" s="294" t="s">
        <v>354</v>
      </c>
      <c r="G132" s="341"/>
      <c r="H132" s="294"/>
      <c r="I132" s="97" t="s">
        <v>355</v>
      </c>
      <c r="J132" s="294"/>
      <c r="K132" s="97" t="s">
        <v>949</v>
      </c>
      <c r="L132" s="294"/>
      <c r="M132" s="294"/>
      <c r="N132" s="97"/>
      <c r="O132" s="294"/>
    </row>
    <row r="133" spans="1:15" s="287" customFormat="1" ht="105" x14ac:dyDescent="0.5">
      <c r="A133" s="60">
        <v>34</v>
      </c>
      <c r="B133" s="255" t="s">
        <v>368</v>
      </c>
      <c r="C133" s="341"/>
      <c r="D133" s="341"/>
      <c r="E133" s="341" t="s">
        <v>950</v>
      </c>
      <c r="F133" s="294" t="s">
        <v>951</v>
      </c>
      <c r="G133" s="341"/>
      <c r="H133" s="294"/>
      <c r="I133" s="294"/>
      <c r="J133" s="294"/>
      <c r="K133" s="97" t="s">
        <v>952</v>
      </c>
      <c r="L133" s="294"/>
      <c r="M133" s="294"/>
      <c r="N133" s="97"/>
      <c r="O133" s="294"/>
    </row>
    <row r="134" spans="1:15" s="287" customFormat="1" ht="147" x14ac:dyDescent="0.5">
      <c r="A134" s="60">
        <v>15</v>
      </c>
      <c r="B134" s="352" t="s">
        <v>292</v>
      </c>
      <c r="C134" s="362">
        <f>858542720+1026788400</f>
        <v>1885331120</v>
      </c>
      <c r="D134" s="341"/>
      <c r="E134" s="341"/>
      <c r="F134" s="294" t="s">
        <v>293</v>
      </c>
      <c r="G134" s="341"/>
      <c r="H134" s="294"/>
      <c r="I134" s="61" t="s">
        <v>294</v>
      </c>
      <c r="J134" s="294"/>
      <c r="K134" s="97" t="s">
        <v>953</v>
      </c>
      <c r="L134" s="294"/>
      <c r="M134" s="294"/>
      <c r="N134" s="97"/>
      <c r="O134" s="294"/>
    </row>
    <row r="135" spans="1:15" s="287" customFormat="1" ht="147" x14ac:dyDescent="0.5">
      <c r="A135" s="60">
        <v>16</v>
      </c>
      <c r="B135" s="352" t="s">
        <v>296</v>
      </c>
      <c r="C135" s="362">
        <f>315601552+417879000</f>
        <v>733480552</v>
      </c>
      <c r="D135" s="341"/>
      <c r="E135" s="341"/>
      <c r="F135" s="294" t="s">
        <v>293</v>
      </c>
      <c r="G135" s="341"/>
      <c r="H135" s="294"/>
      <c r="I135" s="61" t="s">
        <v>294</v>
      </c>
      <c r="J135" s="294"/>
      <c r="K135" s="97" t="s">
        <v>953</v>
      </c>
      <c r="L135" s="294"/>
      <c r="M135" s="294"/>
      <c r="N135" s="97"/>
      <c r="O135" s="294"/>
    </row>
    <row r="136" spans="1:15" s="341" customFormat="1" ht="63" x14ac:dyDescent="0.5">
      <c r="A136" s="60">
        <v>32</v>
      </c>
      <c r="B136" s="255" t="s">
        <v>954</v>
      </c>
      <c r="C136" s="378">
        <v>291497100</v>
      </c>
      <c r="F136" s="294" t="s">
        <v>434</v>
      </c>
      <c r="H136" s="294"/>
      <c r="I136" s="294"/>
      <c r="J136" s="294"/>
      <c r="K136" s="97" t="s">
        <v>955</v>
      </c>
      <c r="L136" s="294"/>
      <c r="M136" s="294"/>
      <c r="N136" s="97"/>
      <c r="O136" s="294"/>
    </row>
    <row r="137" spans="1:15" s="287" customFormat="1" ht="357" x14ac:dyDescent="0.5">
      <c r="A137" s="60">
        <v>22</v>
      </c>
      <c r="B137" s="255" t="s">
        <v>337</v>
      </c>
      <c r="C137" s="362">
        <f>337749700+297300+3217636000</f>
        <v>3555683000</v>
      </c>
      <c r="D137" s="341"/>
      <c r="E137" s="341"/>
      <c r="F137" s="97" t="s">
        <v>338</v>
      </c>
      <c r="G137" s="341"/>
      <c r="H137" s="294"/>
      <c r="I137" s="97" t="s">
        <v>339</v>
      </c>
      <c r="J137" s="294"/>
      <c r="K137" s="97" t="s">
        <v>956</v>
      </c>
      <c r="L137" s="294"/>
      <c r="M137" s="294"/>
      <c r="N137" s="97"/>
      <c r="O137" s="294"/>
    </row>
    <row r="138" spans="1:15" s="287" customFormat="1" ht="357" x14ac:dyDescent="0.5">
      <c r="A138" s="190">
        <v>1</v>
      </c>
      <c r="B138" s="253" t="s">
        <v>255</v>
      </c>
      <c r="C138" s="421">
        <v>214722900</v>
      </c>
      <c r="D138" s="289" t="s">
        <v>957</v>
      </c>
      <c r="F138" s="291" t="s">
        <v>256</v>
      </c>
      <c r="H138" s="289"/>
      <c r="I138" s="289"/>
      <c r="J138" s="289"/>
      <c r="K138" s="244" t="s">
        <v>958</v>
      </c>
      <c r="L138" s="289">
        <v>270</v>
      </c>
      <c r="M138" s="289"/>
      <c r="N138" s="244"/>
      <c r="O138" s="289"/>
    </row>
    <row r="139" spans="1:15" s="287" customFormat="1" ht="84" x14ac:dyDescent="0.5">
      <c r="A139" s="60">
        <v>20</v>
      </c>
      <c r="B139" s="255" t="s">
        <v>341</v>
      </c>
      <c r="C139" s="378">
        <v>51325500</v>
      </c>
      <c r="D139" s="341"/>
      <c r="E139" s="341"/>
      <c r="F139" s="97" t="s">
        <v>342</v>
      </c>
      <c r="G139" s="341"/>
      <c r="H139" s="294"/>
      <c r="I139" s="97" t="s">
        <v>343</v>
      </c>
      <c r="J139" s="294"/>
      <c r="K139" s="97" t="s">
        <v>959</v>
      </c>
      <c r="L139" s="294"/>
      <c r="M139" s="294"/>
      <c r="N139" s="97"/>
      <c r="O139" s="294"/>
    </row>
    <row r="140" spans="1:15" s="287" customFormat="1" ht="105" x14ac:dyDescent="0.5">
      <c r="A140" s="60">
        <v>22</v>
      </c>
      <c r="B140" s="255" t="s">
        <v>351</v>
      </c>
      <c r="C140" s="378">
        <v>57130500</v>
      </c>
      <c r="D140" s="341"/>
      <c r="E140" s="341"/>
      <c r="F140" s="97" t="s">
        <v>342</v>
      </c>
      <c r="G140" s="341"/>
      <c r="H140" s="294"/>
      <c r="I140" s="97" t="s">
        <v>352</v>
      </c>
      <c r="J140" s="294"/>
      <c r="K140" s="97" t="s">
        <v>960</v>
      </c>
      <c r="L140" s="294"/>
      <c r="M140" s="294"/>
      <c r="N140" s="97"/>
      <c r="O140" s="294"/>
    </row>
    <row r="141" spans="1:15" s="287" customFormat="1" ht="189" x14ac:dyDescent="0.5">
      <c r="A141" s="60">
        <v>26</v>
      </c>
      <c r="B141" s="255" t="s">
        <v>366</v>
      </c>
      <c r="C141" s="378">
        <v>315892900</v>
      </c>
      <c r="D141" s="341"/>
      <c r="E141" s="341"/>
      <c r="F141" s="294" t="s">
        <v>105</v>
      </c>
      <c r="G141" s="341"/>
      <c r="H141" s="294"/>
      <c r="I141" s="294"/>
      <c r="J141" s="294"/>
      <c r="K141" s="97" t="s">
        <v>961</v>
      </c>
      <c r="L141" s="294"/>
      <c r="M141" s="294"/>
      <c r="N141" s="97"/>
      <c r="O141" s="294"/>
    </row>
    <row r="142" spans="1:15" s="367" customFormat="1" ht="147" x14ac:dyDescent="0.5">
      <c r="A142" s="363">
        <v>33</v>
      </c>
      <c r="B142" s="352" t="s">
        <v>962</v>
      </c>
      <c r="C142" s="365">
        <v>8800000000</v>
      </c>
      <c r="E142" s="368" t="s">
        <v>963</v>
      </c>
      <c r="F142" s="368" t="s">
        <v>246</v>
      </c>
      <c r="H142" s="368"/>
      <c r="I142" s="368"/>
      <c r="J142" s="368"/>
      <c r="K142" s="369" t="s">
        <v>964</v>
      </c>
      <c r="L142" s="368"/>
      <c r="M142" s="368"/>
      <c r="N142" s="369"/>
      <c r="O142" s="368"/>
    </row>
    <row r="143" spans="1:15" s="287" customFormat="1" ht="210" x14ac:dyDescent="0.5">
      <c r="A143" s="60">
        <v>27</v>
      </c>
      <c r="B143" s="255" t="s">
        <v>965</v>
      </c>
      <c r="C143" s="473">
        <v>3102278400</v>
      </c>
      <c r="D143" s="341"/>
      <c r="E143" s="341"/>
      <c r="F143" s="294" t="s">
        <v>966</v>
      </c>
      <c r="G143" s="341"/>
      <c r="H143" s="294"/>
      <c r="I143" s="294"/>
      <c r="J143" s="294"/>
      <c r="K143" s="97" t="s">
        <v>967</v>
      </c>
      <c r="L143" s="294"/>
      <c r="M143" s="294"/>
      <c r="N143" s="97"/>
      <c r="O143" s="294"/>
    </row>
    <row r="144" spans="1:15" s="341" customFormat="1" ht="63" x14ac:dyDescent="0.5">
      <c r="A144" s="60">
        <v>48</v>
      </c>
      <c r="B144" s="255" t="s">
        <v>968</v>
      </c>
      <c r="F144" s="294" t="s">
        <v>969</v>
      </c>
      <c r="H144" s="294"/>
      <c r="I144" s="294"/>
      <c r="J144" s="294"/>
      <c r="K144" s="97" t="s">
        <v>970</v>
      </c>
      <c r="L144" s="294"/>
      <c r="M144" s="294"/>
      <c r="N144" s="97"/>
      <c r="O144" s="294"/>
    </row>
    <row r="145" spans="1:15" s="287" customFormat="1" ht="105" x14ac:dyDescent="0.5">
      <c r="A145" s="190">
        <v>50</v>
      </c>
      <c r="B145" s="253" t="s">
        <v>971</v>
      </c>
      <c r="F145" s="289" t="s">
        <v>111</v>
      </c>
      <c r="H145" s="289"/>
      <c r="I145" s="289" t="s">
        <v>972</v>
      </c>
      <c r="J145" s="289"/>
      <c r="K145" s="244" t="s">
        <v>973</v>
      </c>
      <c r="L145" s="289"/>
      <c r="M145" s="289"/>
      <c r="N145" s="244"/>
      <c r="O145" s="289"/>
    </row>
    <row r="146" spans="1:15" s="341" customFormat="1" ht="126" x14ac:dyDescent="0.5">
      <c r="A146" s="60">
        <v>14</v>
      </c>
      <c r="B146" s="255" t="s">
        <v>319</v>
      </c>
      <c r="C146" s="375">
        <v>600000000</v>
      </c>
      <c r="F146" s="61" t="s">
        <v>974</v>
      </c>
      <c r="H146" s="294"/>
      <c r="I146" s="294" t="s">
        <v>975</v>
      </c>
      <c r="J146" s="294"/>
      <c r="K146" s="97" t="s">
        <v>976</v>
      </c>
      <c r="L146" s="294"/>
      <c r="M146" s="294"/>
      <c r="N146" s="97"/>
      <c r="O146" s="294"/>
    </row>
    <row r="147" spans="1:15" s="367" customFormat="1" ht="84" x14ac:dyDescent="0.5">
      <c r="A147" s="363">
        <v>23</v>
      </c>
      <c r="B147" s="364" t="s">
        <v>977</v>
      </c>
      <c r="C147" s="365"/>
      <c r="D147" s="365">
        <v>9900000000</v>
      </c>
      <c r="F147" s="368" t="s">
        <v>246</v>
      </c>
      <c r="H147" s="368"/>
      <c r="I147" s="368"/>
      <c r="J147" s="368"/>
      <c r="K147" s="369" t="s">
        <v>978</v>
      </c>
      <c r="L147" s="368"/>
      <c r="M147" s="368"/>
      <c r="N147" s="369"/>
      <c r="O147" s="368"/>
    </row>
    <row r="148" spans="1:15" s="287" customFormat="1" ht="105" x14ac:dyDescent="0.5">
      <c r="A148" s="60">
        <v>43</v>
      </c>
      <c r="B148" s="253" t="s">
        <v>979</v>
      </c>
      <c r="C148" s="386">
        <v>676204000</v>
      </c>
      <c r="F148" s="289" t="s">
        <v>980</v>
      </c>
      <c r="G148" s="287" t="s">
        <v>981</v>
      </c>
      <c r="H148" s="289"/>
      <c r="I148" s="289" t="s">
        <v>982</v>
      </c>
      <c r="J148" s="289"/>
      <c r="K148" s="244" t="s">
        <v>983</v>
      </c>
      <c r="L148" s="289"/>
      <c r="M148" s="289"/>
      <c r="N148" s="244"/>
      <c r="O148" s="289"/>
    </row>
    <row r="149" spans="1:15" s="287" customFormat="1" ht="63" x14ac:dyDescent="0.5">
      <c r="A149" s="60">
        <v>44</v>
      </c>
      <c r="B149" s="253" t="s">
        <v>984</v>
      </c>
      <c r="C149" s="386">
        <v>537135300</v>
      </c>
      <c r="F149" s="289" t="s">
        <v>985</v>
      </c>
      <c r="G149" s="287" t="s">
        <v>986</v>
      </c>
      <c r="H149" s="289"/>
      <c r="I149" s="289" t="s">
        <v>987</v>
      </c>
      <c r="J149" s="289"/>
      <c r="K149" s="244" t="s">
        <v>988</v>
      </c>
      <c r="L149" s="289"/>
      <c r="M149" s="289"/>
      <c r="N149" s="244"/>
      <c r="O149" s="289"/>
    </row>
    <row r="150" spans="1:15" s="372" customFormat="1" ht="63" x14ac:dyDescent="0.5">
      <c r="A150" s="363">
        <v>39</v>
      </c>
      <c r="B150" s="454" t="s">
        <v>989</v>
      </c>
      <c r="C150" s="544">
        <v>1846299800</v>
      </c>
      <c r="D150" s="545"/>
      <c r="E150" s="455"/>
      <c r="F150" s="368" t="s">
        <v>246</v>
      </c>
      <c r="G150" s="455"/>
      <c r="H150" s="456"/>
      <c r="I150" s="456" t="s">
        <v>990</v>
      </c>
      <c r="J150" s="456"/>
      <c r="K150" s="457"/>
      <c r="L150" s="456"/>
      <c r="M150" s="456"/>
      <c r="N150" s="457"/>
      <c r="O150" s="456"/>
    </row>
    <row r="151" spans="1:15" s="287" customFormat="1" ht="147" x14ac:dyDescent="0.5">
      <c r="A151" s="60">
        <v>18</v>
      </c>
      <c r="B151" s="255" t="s">
        <v>357</v>
      </c>
      <c r="C151" s="378">
        <v>1474722000</v>
      </c>
      <c r="D151" s="294" t="s">
        <v>991</v>
      </c>
      <c r="E151" s="341"/>
      <c r="F151" s="294" t="s">
        <v>992</v>
      </c>
      <c r="G151" s="341"/>
      <c r="H151" s="294"/>
      <c r="I151" s="97" t="s">
        <v>993</v>
      </c>
      <c r="J151" s="294"/>
      <c r="K151" s="97" t="s">
        <v>994</v>
      </c>
      <c r="L151" s="294"/>
      <c r="M151" s="294"/>
      <c r="N151" s="97"/>
      <c r="O151" s="294"/>
    </row>
    <row r="152" spans="1:15" s="341" customFormat="1" ht="126" x14ac:dyDescent="0.5">
      <c r="A152" s="60">
        <v>23</v>
      </c>
      <c r="B152" s="255" t="s">
        <v>995</v>
      </c>
      <c r="C152" s="415">
        <v>1500000000</v>
      </c>
      <c r="F152" s="294" t="s">
        <v>996</v>
      </c>
      <c r="H152" s="294"/>
      <c r="I152" s="294"/>
      <c r="J152" s="294"/>
      <c r="K152" s="97" t="s">
        <v>997</v>
      </c>
      <c r="L152" s="294"/>
      <c r="M152" s="294"/>
      <c r="N152" s="97"/>
      <c r="O152" s="294"/>
    </row>
    <row r="153" spans="1:15" s="367" customFormat="1" ht="105" x14ac:dyDescent="0.5">
      <c r="A153" s="60">
        <v>46</v>
      </c>
      <c r="B153" s="364" t="s">
        <v>998</v>
      </c>
      <c r="C153" s="377">
        <v>1893080000</v>
      </c>
      <c r="D153" s="368" t="s">
        <v>999</v>
      </c>
      <c r="F153" s="368" t="s">
        <v>1000</v>
      </c>
      <c r="G153" s="368" t="s">
        <v>1001</v>
      </c>
      <c r="H153" s="368"/>
      <c r="I153" s="368"/>
      <c r="J153" s="368"/>
      <c r="K153" s="369" t="s">
        <v>1002</v>
      </c>
      <c r="L153" s="368"/>
      <c r="M153" s="368"/>
      <c r="N153" s="369"/>
      <c r="O153" s="368"/>
    </row>
    <row r="154" spans="1:15" s="367" customFormat="1" ht="147.5" x14ac:dyDescent="0.55000000000000004">
      <c r="A154" s="387">
        <v>37</v>
      </c>
      <c r="B154" s="364" t="s">
        <v>1003</v>
      </c>
      <c r="C154" s="365">
        <v>7038583926</v>
      </c>
      <c r="E154" s="368"/>
      <c r="F154" s="546" t="s">
        <v>1004</v>
      </c>
      <c r="G154" s="367" t="s">
        <v>1005</v>
      </c>
      <c r="H154" s="368"/>
      <c r="I154" s="368" t="s">
        <v>1006</v>
      </c>
      <c r="J154" s="368"/>
      <c r="K154" s="369" t="s">
        <v>1007</v>
      </c>
      <c r="L154" s="368"/>
      <c r="M154" s="368"/>
      <c r="N154" s="369"/>
      <c r="O154" s="368"/>
    </row>
    <row r="155" spans="1:15" s="367" customFormat="1" ht="63" x14ac:dyDescent="0.5">
      <c r="A155" s="190">
        <v>43</v>
      </c>
      <c r="B155" s="364" t="s">
        <v>1008</v>
      </c>
      <c r="C155" s="377">
        <v>8487000000</v>
      </c>
      <c r="D155" s="368" t="s">
        <v>999</v>
      </c>
      <c r="F155" s="368" t="s">
        <v>950</v>
      </c>
      <c r="G155" s="368" t="s">
        <v>1001</v>
      </c>
      <c r="H155" s="368"/>
      <c r="I155" s="368"/>
      <c r="J155" s="368"/>
      <c r="K155" s="369"/>
      <c r="L155" s="368"/>
      <c r="M155" s="368"/>
      <c r="N155" s="369"/>
      <c r="O155" s="368"/>
    </row>
    <row r="156" spans="1:15" s="372" customFormat="1" ht="42" x14ac:dyDescent="0.5">
      <c r="A156" s="363">
        <v>20</v>
      </c>
      <c r="B156" s="454" t="s">
        <v>1009</v>
      </c>
      <c r="D156" s="455"/>
      <c r="E156" s="455" t="s">
        <v>1000</v>
      </c>
      <c r="F156" s="456" t="s">
        <v>1010</v>
      </c>
      <c r="G156" s="455"/>
      <c r="H156" s="456"/>
      <c r="I156" s="456"/>
      <c r="J156" s="456"/>
      <c r="K156" s="457" t="s">
        <v>1011</v>
      </c>
      <c r="L156" s="456"/>
      <c r="M156" s="456"/>
      <c r="N156" s="457"/>
      <c r="O156" s="456"/>
    </row>
    <row r="157" spans="1:15" s="287" customFormat="1" ht="63" x14ac:dyDescent="0.5">
      <c r="A157" s="190">
        <v>39</v>
      </c>
      <c r="B157" s="253" t="s">
        <v>1012</v>
      </c>
      <c r="C157" s="386">
        <v>148772100</v>
      </c>
      <c r="F157" s="289" t="s">
        <v>1013</v>
      </c>
      <c r="G157" s="287" t="s">
        <v>1014</v>
      </c>
      <c r="H157" s="289"/>
      <c r="I157" s="289" t="s">
        <v>1015</v>
      </c>
      <c r="J157" s="289"/>
      <c r="K157" s="244" t="s">
        <v>1016</v>
      </c>
      <c r="L157" s="289"/>
      <c r="M157" s="289"/>
      <c r="N157" s="244"/>
      <c r="O157" s="289"/>
    </row>
    <row r="158" spans="1:15" s="367" customFormat="1" ht="63" x14ac:dyDescent="0.5">
      <c r="A158" s="60">
        <v>44</v>
      </c>
      <c r="B158" s="364" t="s">
        <v>1017</v>
      </c>
      <c r="D158" s="367" t="s">
        <v>1018</v>
      </c>
      <c r="F158" s="369" t="s">
        <v>1019</v>
      </c>
      <c r="H158" s="368"/>
      <c r="I158" s="368"/>
      <c r="J158" s="368"/>
      <c r="K158" s="369"/>
      <c r="L158" s="368"/>
      <c r="M158" s="368"/>
      <c r="N158" s="369"/>
      <c r="O158" s="368"/>
    </row>
    <row r="159" spans="1:15" s="455" customFormat="1" ht="84" x14ac:dyDescent="0.5">
      <c r="A159" s="190">
        <v>45</v>
      </c>
      <c r="B159" s="454" t="s">
        <v>1020</v>
      </c>
      <c r="C159" s="391">
        <v>8000000000</v>
      </c>
      <c r="D159" s="455" t="s">
        <v>1018</v>
      </c>
      <c r="F159" s="456"/>
      <c r="H159" s="456"/>
      <c r="I159" s="456"/>
      <c r="J159" s="456"/>
      <c r="K159" s="457"/>
      <c r="L159" s="456"/>
      <c r="M159" s="456"/>
      <c r="N159" s="457"/>
      <c r="O159" s="456"/>
    </row>
    <row r="160" spans="1:15" s="367" customFormat="1" ht="84" x14ac:dyDescent="0.5">
      <c r="A160" s="363">
        <v>48</v>
      </c>
      <c r="B160" s="364" t="s">
        <v>1021</v>
      </c>
      <c r="F160" s="368"/>
      <c r="H160" s="368"/>
      <c r="I160" s="368"/>
      <c r="J160" s="368"/>
      <c r="K160" s="369"/>
      <c r="L160" s="368"/>
      <c r="M160" s="368"/>
      <c r="N160" s="369"/>
      <c r="O160" s="368"/>
    </row>
    <row r="161" spans="1:15" s="367" customFormat="1" ht="84" x14ac:dyDescent="0.5">
      <c r="A161" s="363">
        <v>49</v>
      </c>
      <c r="B161" s="364" t="s">
        <v>1022</v>
      </c>
      <c r="F161" s="368"/>
      <c r="H161" s="368"/>
      <c r="I161" s="368"/>
      <c r="J161" s="368"/>
      <c r="K161" s="369"/>
      <c r="L161" s="368"/>
      <c r="M161" s="368"/>
      <c r="N161" s="369"/>
      <c r="O161" s="368"/>
    </row>
    <row r="162" spans="1:15" s="367" customFormat="1" ht="84" x14ac:dyDescent="0.5">
      <c r="A162" s="363">
        <v>50</v>
      </c>
      <c r="B162" s="364" t="s">
        <v>1023</v>
      </c>
      <c r="F162" s="368"/>
      <c r="H162" s="368"/>
      <c r="I162" s="368"/>
      <c r="J162" s="368"/>
      <c r="K162" s="369"/>
      <c r="L162" s="368"/>
      <c r="M162" s="368"/>
      <c r="N162" s="369"/>
      <c r="O162" s="368"/>
    </row>
    <row r="163" spans="1:15" s="367" customFormat="1" ht="63" x14ac:dyDescent="0.5">
      <c r="A163" s="363">
        <v>51</v>
      </c>
      <c r="B163" s="364" t="s">
        <v>1024</v>
      </c>
      <c r="F163" s="368"/>
      <c r="H163" s="368"/>
      <c r="I163" s="368"/>
      <c r="J163" s="368"/>
      <c r="K163" s="369"/>
      <c r="L163" s="368"/>
      <c r="M163" s="368"/>
      <c r="N163" s="369"/>
      <c r="O163" s="368"/>
    </row>
    <row r="164" spans="1:15" s="367" customFormat="1" ht="147" x14ac:dyDescent="0.5">
      <c r="A164" s="363">
        <v>52</v>
      </c>
      <c r="B164" s="364" t="s">
        <v>1025</v>
      </c>
      <c r="F164" s="368"/>
      <c r="H164" s="368"/>
      <c r="I164" s="368"/>
      <c r="J164" s="368"/>
      <c r="K164" s="369"/>
      <c r="L164" s="368"/>
      <c r="M164" s="368"/>
      <c r="N164" s="369"/>
      <c r="O164" s="368"/>
    </row>
    <row r="165" spans="1:15" s="367" customFormat="1" ht="84" x14ac:dyDescent="0.5">
      <c r="A165" s="387">
        <v>25</v>
      </c>
      <c r="B165" s="364" t="s">
        <v>1026</v>
      </c>
      <c r="C165" s="365">
        <v>2000000000</v>
      </c>
      <c r="E165" s="368" t="s">
        <v>1027</v>
      </c>
      <c r="F165" s="368" t="s">
        <v>1028</v>
      </c>
      <c r="H165" s="368"/>
      <c r="I165" s="368"/>
      <c r="J165" s="368"/>
      <c r="K165" s="369" t="s">
        <v>1029</v>
      </c>
      <c r="L165" s="368"/>
      <c r="M165" s="368"/>
      <c r="N165" s="369"/>
      <c r="O165" s="368"/>
    </row>
    <row r="166" spans="1:15" s="287" customFormat="1" ht="168" x14ac:dyDescent="0.5">
      <c r="A166" s="190">
        <v>37</v>
      </c>
      <c r="B166" s="253" t="s">
        <v>1030</v>
      </c>
      <c r="C166" s="386">
        <v>1850692200</v>
      </c>
      <c r="E166" s="289" t="s">
        <v>1031</v>
      </c>
      <c r="F166" s="289"/>
      <c r="G166" s="289" t="s">
        <v>1032</v>
      </c>
      <c r="H166" s="289"/>
      <c r="I166" s="289"/>
      <c r="J166" s="289"/>
      <c r="K166" s="244" t="s">
        <v>1033</v>
      </c>
      <c r="L166" s="289"/>
      <c r="M166" s="289"/>
      <c r="N166" s="244"/>
      <c r="O166" s="289"/>
    </row>
    <row r="167" spans="1:15" s="367" customFormat="1" ht="84" x14ac:dyDescent="0.5">
      <c r="A167" s="363">
        <v>25</v>
      </c>
      <c r="B167" s="364" t="s">
        <v>1034</v>
      </c>
      <c r="C167" s="365">
        <v>6000000000</v>
      </c>
      <c r="D167" s="368" t="s">
        <v>1035</v>
      </c>
      <c r="F167" s="368" t="s">
        <v>1028</v>
      </c>
      <c r="H167" s="368"/>
      <c r="I167" s="368"/>
      <c r="J167" s="368"/>
      <c r="K167" s="369"/>
      <c r="L167" s="368"/>
      <c r="M167" s="368"/>
      <c r="N167" s="369"/>
      <c r="O167" s="368"/>
    </row>
    <row r="168" spans="1:15" s="367" customFormat="1" ht="63" x14ac:dyDescent="0.5">
      <c r="A168" s="363">
        <v>27</v>
      </c>
      <c r="B168" s="364" t="s">
        <v>1036</v>
      </c>
      <c r="C168" s="365">
        <v>1400000000</v>
      </c>
      <c r="F168" s="368" t="s">
        <v>1037</v>
      </c>
      <c r="H168" s="368"/>
      <c r="I168" s="368"/>
      <c r="J168" s="368"/>
      <c r="K168" s="369"/>
      <c r="L168" s="368"/>
      <c r="M168" s="368"/>
      <c r="N168" s="369"/>
      <c r="O168" s="368"/>
    </row>
    <row r="169" spans="1:15" s="372" customFormat="1" ht="21" x14ac:dyDescent="0.5">
      <c r="A169" s="363">
        <v>33</v>
      </c>
      <c r="B169" s="454" t="s">
        <v>1038</v>
      </c>
      <c r="C169" s="544">
        <v>1000000000</v>
      </c>
      <c r="D169" s="545" t="s">
        <v>34</v>
      </c>
      <c r="E169" s="455"/>
      <c r="F169" s="456" t="s">
        <v>1037</v>
      </c>
      <c r="G169" s="455"/>
      <c r="H169" s="456"/>
      <c r="I169" s="456"/>
      <c r="J169" s="456"/>
      <c r="K169" s="457"/>
      <c r="L169" s="456"/>
      <c r="M169" s="456"/>
      <c r="N169" s="457"/>
      <c r="O169" s="456"/>
    </row>
    <row r="170" spans="1:15" s="341" customFormat="1" ht="126" x14ac:dyDescent="0.5">
      <c r="A170" s="481">
        <v>12</v>
      </c>
      <c r="B170" s="255" t="s">
        <v>313</v>
      </c>
      <c r="C170" s="375">
        <v>7005400</v>
      </c>
      <c r="F170" s="61" t="s">
        <v>271</v>
      </c>
      <c r="H170" s="294"/>
      <c r="I170" s="97" t="s">
        <v>314</v>
      </c>
      <c r="J170" s="294"/>
      <c r="K170" s="97" t="s">
        <v>1039</v>
      </c>
      <c r="L170" s="294"/>
      <c r="M170" s="294"/>
      <c r="N170" s="97"/>
      <c r="O170" s="294"/>
    </row>
    <row r="171" spans="1:15" s="367" customFormat="1" ht="63" x14ac:dyDescent="0.5">
      <c r="A171" s="363">
        <v>21</v>
      </c>
      <c r="B171" s="364" t="s">
        <v>1040</v>
      </c>
      <c r="C171" s="365"/>
      <c r="D171" s="547">
        <v>10000000000</v>
      </c>
      <c r="F171" s="368" t="s">
        <v>246</v>
      </c>
      <c r="H171" s="368"/>
      <c r="I171" s="368"/>
      <c r="J171" s="368"/>
      <c r="K171" s="369"/>
      <c r="L171" s="368"/>
      <c r="M171" s="368"/>
      <c r="N171" s="369"/>
      <c r="O171" s="368"/>
    </row>
    <row r="172" spans="1:15" s="367" customFormat="1" ht="84" x14ac:dyDescent="0.5">
      <c r="A172" s="548">
        <v>22</v>
      </c>
      <c r="B172" s="364" t="s">
        <v>1041</v>
      </c>
      <c r="C172" s="365"/>
      <c r="D172" s="365">
        <v>1000000000</v>
      </c>
      <c r="F172" s="368" t="s">
        <v>246</v>
      </c>
      <c r="H172" s="368"/>
      <c r="I172" s="368"/>
      <c r="J172" s="368"/>
      <c r="K172" s="369"/>
      <c r="L172" s="368"/>
      <c r="M172" s="368"/>
      <c r="N172" s="369"/>
      <c r="O172" s="368"/>
    </row>
    <row r="173" spans="1:15" s="367" customFormat="1" ht="63" x14ac:dyDescent="0.5">
      <c r="A173" s="548">
        <v>24</v>
      </c>
      <c r="B173" s="364" t="s">
        <v>1042</v>
      </c>
      <c r="C173" s="365"/>
      <c r="D173" s="365">
        <v>3400000000</v>
      </c>
      <c r="F173" s="368" t="s">
        <v>1028</v>
      </c>
      <c r="H173" s="368"/>
      <c r="I173" s="368"/>
      <c r="J173" s="368"/>
      <c r="K173" s="369"/>
      <c r="L173" s="368"/>
      <c r="M173" s="368"/>
      <c r="N173" s="369"/>
      <c r="O173" s="368"/>
    </row>
    <row r="174" spans="1:15" s="367" customFormat="1" ht="42" x14ac:dyDescent="0.5">
      <c r="A174" s="363">
        <v>25</v>
      </c>
      <c r="B174" s="364" t="s">
        <v>1043</v>
      </c>
      <c r="C174" s="365"/>
      <c r="D174" s="365">
        <v>1500000000</v>
      </c>
      <c r="F174" s="368" t="s">
        <v>1028</v>
      </c>
      <c r="H174" s="368"/>
      <c r="I174" s="368"/>
      <c r="J174" s="368"/>
      <c r="K174" s="369"/>
      <c r="L174" s="368"/>
      <c r="M174" s="368"/>
      <c r="N174" s="369"/>
      <c r="O174" s="368"/>
    </row>
    <row r="175" spans="1:15" s="367" customFormat="1" ht="63" x14ac:dyDescent="0.5">
      <c r="A175" s="548">
        <v>26</v>
      </c>
      <c r="B175" s="364" t="s">
        <v>1044</v>
      </c>
      <c r="C175" s="365"/>
      <c r="D175" s="365">
        <v>3000000000</v>
      </c>
      <c r="F175" s="368" t="s">
        <v>1037</v>
      </c>
      <c r="H175" s="368"/>
      <c r="I175" s="368"/>
      <c r="J175" s="368"/>
      <c r="K175" s="369"/>
      <c r="L175" s="368"/>
      <c r="M175" s="368"/>
      <c r="N175" s="369"/>
      <c r="O175" s="368"/>
    </row>
    <row r="176" spans="1:15" s="367" customFormat="1" ht="42" x14ac:dyDescent="0.5">
      <c r="A176" s="548">
        <v>28</v>
      </c>
      <c r="B176" s="364" t="s">
        <v>1045</v>
      </c>
      <c r="C176" s="365">
        <v>2400000000</v>
      </c>
      <c r="F176" s="368" t="s">
        <v>1037</v>
      </c>
      <c r="H176" s="368"/>
      <c r="I176" s="368"/>
      <c r="J176" s="368"/>
      <c r="K176" s="369"/>
      <c r="L176" s="368"/>
      <c r="M176" s="368"/>
      <c r="N176" s="369"/>
      <c r="O176" s="368"/>
    </row>
    <row r="177" spans="1:15" s="367" customFormat="1" ht="42" x14ac:dyDescent="0.5">
      <c r="A177" s="363">
        <v>29</v>
      </c>
      <c r="B177" s="364" t="s">
        <v>1046</v>
      </c>
      <c r="C177" s="365"/>
      <c r="D177" s="365">
        <v>4400000000</v>
      </c>
      <c r="F177" s="368" t="s">
        <v>1037</v>
      </c>
      <c r="H177" s="368"/>
      <c r="I177" s="368"/>
      <c r="J177" s="368"/>
      <c r="K177" s="369"/>
      <c r="L177" s="368"/>
      <c r="M177" s="368"/>
      <c r="N177" s="369"/>
      <c r="O177" s="368"/>
    </row>
    <row r="178" spans="1:15" s="287" customFormat="1" ht="105" x14ac:dyDescent="0.5">
      <c r="A178" s="60">
        <v>33</v>
      </c>
      <c r="B178" s="253" t="s">
        <v>1047</v>
      </c>
      <c r="C178" s="386">
        <v>2807607880</v>
      </c>
      <c r="E178" s="289" t="s">
        <v>1048</v>
      </c>
      <c r="F178" s="289" t="s">
        <v>996</v>
      </c>
      <c r="G178" s="287" t="s">
        <v>1049</v>
      </c>
      <c r="H178" s="289"/>
      <c r="I178" s="289"/>
      <c r="J178" s="289"/>
      <c r="K178" s="244" t="s">
        <v>1050</v>
      </c>
      <c r="L178" s="289"/>
      <c r="M178" s="289"/>
      <c r="N178" s="244"/>
      <c r="O178" s="289"/>
    </row>
    <row r="179" spans="1:15" s="367" customFormat="1" ht="105" x14ac:dyDescent="0.5">
      <c r="A179" s="481">
        <v>36</v>
      </c>
      <c r="B179" s="352" t="s">
        <v>1051</v>
      </c>
      <c r="C179" s="377">
        <v>1000000000</v>
      </c>
      <c r="E179" s="367" t="s">
        <v>1052</v>
      </c>
      <c r="F179" s="491" t="s">
        <v>1053</v>
      </c>
      <c r="G179" s="363" t="s">
        <v>1054</v>
      </c>
      <c r="H179" s="368"/>
      <c r="I179" s="368"/>
      <c r="J179" s="368"/>
      <c r="K179" s="369" t="s">
        <v>1055</v>
      </c>
      <c r="L179" s="368"/>
      <c r="M179" s="368"/>
      <c r="N179" s="369"/>
      <c r="O179" s="368"/>
    </row>
    <row r="180" spans="1:15" s="287" customFormat="1" ht="126" x14ac:dyDescent="0.5">
      <c r="A180" s="481">
        <v>38</v>
      </c>
      <c r="B180" s="253" t="s">
        <v>1056</v>
      </c>
      <c r="C180" s="386">
        <v>1411672752</v>
      </c>
      <c r="E180" s="291" t="s">
        <v>1057</v>
      </c>
      <c r="F180" s="289" t="s">
        <v>1058</v>
      </c>
      <c r="G180" s="287" t="s">
        <v>1059</v>
      </c>
      <c r="H180" s="289"/>
      <c r="I180" s="289"/>
      <c r="J180" s="289"/>
      <c r="K180" s="244" t="s">
        <v>1060</v>
      </c>
      <c r="L180" s="289"/>
      <c r="M180" s="289"/>
      <c r="N180" s="244"/>
      <c r="O180" s="289"/>
    </row>
    <row r="181" spans="1:15" s="367" customFormat="1" ht="126" x14ac:dyDescent="0.5">
      <c r="A181" s="60">
        <v>39</v>
      </c>
      <c r="B181" s="364" t="s">
        <v>1061</v>
      </c>
      <c r="C181" s="409">
        <v>936689500</v>
      </c>
      <c r="D181" s="490" t="s">
        <v>1037</v>
      </c>
      <c r="E181" s="369" t="s">
        <v>1062</v>
      </c>
      <c r="F181" s="410" t="s">
        <v>1063</v>
      </c>
      <c r="G181" s="490" t="s">
        <v>1064</v>
      </c>
      <c r="H181" s="368"/>
      <c r="I181" s="368"/>
      <c r="J181" s="368"/>
      <c r="K181" s="369" t="s">
        <v>1065</v>
      </c>
      <c r="L181" s="368"/>
      <c r="M181" s="368"/>
      <c r="N181" s="369"/>
      <c r="O181" s="368"/>
    </row>
    <row r="182" spans="1:15" s="367" customFormat="1" ht="189" x14ac:dyDescent="0.5">
      <c r="A182" s="60">
        <v>41</v>
      </c>
      <c r="B182" s="364" t="s">
        <v>1066</v>
      </c>
      <c r="C182" s="365">
        <v>4611083200</v>
      </c>
      <c r="E182" s="490" t="s">
        <v>246</v>
      </c>
      <c r="F182" s="410" t="s">
        <v>1067</v>
      </c>
      <c r="H182" s="368"/>
      <c r="I182" s="368"/>
      <c r="J182" s="368"/>
      <c r="K182" s="369" t="s">
        <v>1068</v>
      </c>
      <c r="L182" s="368"/>
      <c r="M182" s="368"/>
      <c r="N182" s="369"/>
      <c r="O182" s="368"/>
    </row>
    <row r="183" spans="1:15" s="287" customFormat="1" ht="126" x14ac:dyDescent="0.5">
      <c r="A183" s="481">
        <v>42</v>
      </c>
      <c r="B183" s="253" t="s">
        <v>1069</v>
      </c>
      <c r="C183" s="386">
        <v>2362610068</v>
      </c>
      <c r="F183" s="289" t="s">
        <v>1070</v>
      </c>
      <c r="H183" s="289"/>
      <c r="I183" s="289"/>
      <c r="J183" s="289"/>
      <c r="K183" s="244" t="s">
        <v>1071</v>
      </c>
      <c r="L183" s="289"/>
      <c r="M183" s="289"/>
      <c r="N183" s="244"/>
      <c r="O183" s="289"/>
    </row>
    <row r="184" spans="1:15" s="341" customFormat="1" ht="63" x14ac:dyDescent="0.5">
      <c r="A184" s="60">
        <v>49</v>
      </c>
      <c r="B184" s="255" t="s">
        <v>1072</v>
      </c>
      <c r="F184" s="294" t="s">
        <v>1073</v>
      </c>
      <c r="G184" s="341" t="s">
        <v>1074</v>
      </c>
      <c r="H184" s="294"/>
      <c r="I184" s="294"/>
      <c r="J184" s="294"/>
      <c r="K184" s="97" t="s">
        <v>1075</v>
      </c>
      <c r="L184" s="294"/>
      <c r="M184" s="294"/>
      <c r="N184" s="97"/>
      <c r="O184" s="294"/>
    </row>
    <row r="185" spans="1:15" s="287" customFormat="1" ht="63" x14ac:dyDescent="0.5">
      <c r="A185" s="481">
        <v>38</v>
      </c>
      <c r="B185" s="253" t="s">
        <v>1076</v>
      </c>
      <c r="E185" s="287" t="s">
        <v>1077</v>
      </c>
      <c r="F185" s="289" t="s">
        <v>1078</v>
      </c>
      <c r="H185" s="289"/>
      <c r="I185" s="289"/>
      <c r="J185" s="289"/>
      <c r="K185" s="244" t="s">
        <v>1079</v>
      </c>
      <c r="L185" s="289"/>
      <c r="M185" s="289"/>
      <c r="N185" s="244"/>
      <c r="O185" s="289"/>
    </row>
    <row r="186" spans="1:15" s="341" customFormat="1" ht="84" x14ac:dyDescent="0.5">
      <c r="A186" s="60">
        <v>19</v>
      </c>
      <c r="B186" s="255" t="s">
        <v>1080</v>
      </c>
      <c r="C186" s="415">
        <v>1100000000</v>
      </c>
      <c r="E186" s="474" t="s">
        <v>1081</v>
      </c>
      <c r="F186" s="294" t="s">
        <v>996</v>
      </c>
      <c r="H186" s="294"/>
      <c r="I186" s="294"/>
      <c r="J186" s="294"/>
      <c r="K186" s="97" t="s">
        <v>1082</v>
      </c>
      <c r="L186" s="294"/>
      <c r="M186" s="294"/>
      <c r="N186" s="97"/>
      <c r="O186" s="294"/>
    </row>
    <row r="187" spans="1:15" s="367" customFormat="1" ht="42" x14ac:dyDescent="0.5">
      <c r="A187" s="548">
        <v>20</v>
      </c>
      <c r="B187" s="364" t="s">
        <v>1083</v>
      </c>
      <c r="C187" s="365">
        <v>299999999</v>
      </c>
      <c r="F187" s="368" t="s">
        <v>1028</v>
      </c>
      <c r="H187" s="368"/>
      <c r="I187" s="368"/>
      <c r="J187" s="368"/>
      <c r="K187" s="369"/>
      <c r="L187" s="368"/>
      <c r="M187" s="368"/>
      <c r="N187" s="369"/>
      <c r="O187" s="368"/>
    </row>
    <row r="188" spans="1:15" s="341" customFormat="1" ht="105" x14ac:dyDescent="0.5">
      <c r="A188" s="481">
        <v>28</v>
      </c>
      <c r="B188" s="255" t="s">
        <v>1084</v>
      </c>
      <c r="C188" s="378">
        <v>2123062850</v>
      </c>
      <c r="F188" s="294" t="s">
        <v>1085</v>
      </c>
      <c r="H188" s="294"/>
      <c r="I188" s="294"/>
      <c r="J188" s="294"/>
      <c r="K188" s="97" t="s">
        <v>1086</v>
      </c>
      <c r="L188" s="294"/>
      <c r="M188" s="294"/>
      <c r="N188" s="97"/>
      <c r="O188" s="294"/>
    </row>
    <row r="189" spans="1:15" s="287" customFormat="1" ht="63" x14ac:dyDescent="0.5">
      <c r="A189" s="481">
        <v>44</v>
      </c>
      <c r="B189" s="253" t="s">
        <v>1087</v>
      </c>
      <c r="F189" s="289" t="s">
        <v>1088</v>
      </c>
      <c r="H189" s="289"/>
      <c r="I189" s="289"/>
      <c r="J189" s="289"/>
      <c r="K189" s="244" t="s">
        <v>1089</v>
      </c>
      <c r="L189" s="289"/>
      <c r="M189" s="289"/>
      <c r="N189" s="244"/>
      <c r="O189" s="289"/>
    </row>
    <row r="190" spans="1:15" s="367" customFormat="1" ht="84" x14ac:dyDescent="0.5">
      <c r="A190" s="548">
        <v>46</v>
      </c>
      <c r="B190" s="364" t="s">
        <v>1090</v>
      </c>
      <c r="C190" s="377">
        <v>11357792160</v>
      </c>
      <c r="D190" s="363"/>
      <c r="F190" s="368" t="s">
        <v>113</v>
      </c>
      <c r="H190" s="368"/>
      <c r="I190" s="368"/>
      <c r="J190" s="368"/>
      <c r="K190" s="369" t="s">
        <v>1091</v>
      </c>
      <c r="L190" s="368"/>
      <c r="M190" s="368"/>
      <c r="N190" s="369"/>
      <c r="O190" s="368"/>
    </row>
    <row r="191" spans="1:15" s="367" customFormat="1" ht="63" x14ac:dyDescent="0.5">
      <c r="A191" s="363">
        <v>23</v>
      </c>
      <c r="B191" s="364" t="s">
        <v>1092</v>
      </c>
      <c r="C191" s="377">
        <v>3000000000</v>
      </c>
      <c r="D191" s="368"/>
      <c r="E191" s="368" t="s">
        <v>1093</v>
      </c>
      <c r="F191" s="368" t="s">
        <v>1094</v>
      </c>
      <c r="G191" s="368" t="s">
        <v>1095</v>
      </c>
      <c r="H191" s="368"/>
      <c r="I191" s="368"/>
      <c r="J191" s="368"/>
      <c r="K191" s="369" t="s">
        <v>1096</v>
      </c>
      <c r="L191" s="368"/>
      <c r="M191" s="368"/>
      <c r="N191" s="369"/>
      <c r="O191" s="368"/>
    </row>
    <row r="192" spans="1:15" s="287" customFormat="1" ht="105" x14ac:dyDescent="0.5">
      <c r="A192" s="481">
        <v>36</v>
      </c>
      <c r="B192" s="253" t="s">
        <v>1097</v>
      </c>
      <c r="C192" s="386">
        <v>192592200</v>
      </c>
      <c r="F192" s="289" t="s">
        <v>996</v>
      </c>
      <c r="H192" s="289"/>
      <c r="I192" s="289"/>
      <c r="J192" s="289"/>
      <c r="K192" s="244" t="s">
        <v>1098</v>
      </c>
      <c r="L192" s="289"/>
      <c r="M192" s="289"/>
      <c r="N192" s="244"/>
      <c r="O192" s="289"/>
    </row>
    <row r="193" spans="1:15" s="287" customFormat="1" ht="63" x14ac:dyDescent="0.5">
      <c r="A193" s="60">
        <v>37</v>
      </c>
      <c r="B193" s="253" t="s">
        <v>1099</v>
      </c>
      <c r="C193" s="386">
        <v>23138200</v>
      </c>
      <c r="F193" s="289" t="s">
        <v>996</v>
      </c>
      <c r="H193" s="289"/>
      <c r="I193" s="289"/>
      <c r="J193" s="289"/>
      <c r="K193" s="244" t="s">
        <v>1100</v>
      </c>
      <c r="L193" s="289"/>
      <c r="M193" s="289"/>
      <c r="N193" s="244"/>
      <c r="O193" s="289"/>
    </row>
    <row r="194" spans="1:15" s="367" customFormat="1" ht="84" x14ac:dyDescent="0.5">
      <c r="A194" s="363">
        <v>44</v>
      </c>
      <c r="B194" s="364" t="s">
        <v>1101</v>
      </c>
      <c r="F194" s="369" t="s">
        <v>1102</v>
      </c>
      <c r="H194" s="368"/>
      <c r="I194" s="368"/>
      <c r="J194" s="368"/>
      <c r="K194" s="369" t="s">
        <v>1103</v>
      </c>
      <c r="L194" s="368"/>
      <c r="M194" s="368"/>
      <c r="N194" s="369"/>
      <c r="O194" s="368"/>
    </row>
    <row r="195" spans="1:15" s="367" customFormat="1" ht="105" x14ac:dyDescent="0.5">
      <c r="A195" s="363">
        <v>46</v>
      </c>
      <c r="B195" s="364" t="s">
        <v>1104</v>
      </c>
      <c r="F195" s="368"/>
      <c r="H195" s="368"/>
      <c r="I195" s="368"/>
      <c r="J195" s="368"/>
      <c r="K195" s="369" t="s">
        <v>1105</v>
      </c>
      <c r="L195" s="368"/>
      <c r="M195" s="368"/>
      <c r="N195" s="369"/>
      <c r="O195" s="368"/>
    </row>
    <row r="196" spans="1:15" s="367" customFormat="1" ht="105" x14ac:dyDescent="0.5">
      <c r="A196" s="363">
        <v>47</v>
      </c>
      <c r="B196" s="364" t="s">
        <v>1106</v>
      </c>
      <c r="F196" s="368"/>
      <c r="H196" s="368"/>
      <c r="I196" s="368"/>
      <c r="J196" s="368"/>
      <c r="K196" s="369" t="s">
        <v>1107</v>
      </c>
      <c r="L196" s="368"/>
      <c r="M196" s="368"/>
      <c r="N196" s="369"/>
      <c r="O196" s="368"/>
    </row>
    <row r="197" spans="1:15" s="367" customFormat="1" ht="105" x14ac:dyDescent="0.5">
      <c r="A197" s="363">
        <v>48</v>
      </c>
      <c r="B197" s="364" t="s">
        <v>1108</v>
      </c>
      <c r="F197" s="368"/>
      <c r="H197" s="368"/>
      <c r="I197" s="368"/>
      <c r="J197" s="368"/>
      <c r="K197" s="369" t="s">
        <v>1107</v>
      </c>
      <c r="L197" s="368"/>
      <c r="M197" s="368"/>
      <c r="N197" s="369"/>
      <c r="O197" s="368"/>
    </row>
    <row r="198" spans="1:15" s="367" customFormat="1" ht="42" x14ac:dyDescent="0.5">
      <c r="A198" s="363">
        <v>50</v>
      </c>
      <c r="B198" s="364" t="s">
        <v>1109</v>
      </c>
      <c r="F198" s="368"/>
      <c r="H198" s="368"/>
      <c r="I198" s="368"/>
      <c r="J198" s="368"/>
      <c r="K198" s="369" t="s">
        <v>1110</v>
      </c>
      <c r="L198" s="368"/>
      <c r="M198" s="368"/>
      <c r="N198" s="369"/>
      <c r="O198" s="368"/>
    </row>
    <row r="199" spans="1:15" s="367" customFormat="1" ht="63" x14ac:dyDescent="0.5">
      <c r="A199" s="363">
        <v>19</v>
      </c>
      <c r="B199" s="364" t="s">
        <v>1111</v>
      </c>
      <c r="C199" s="365"/>
      <c r="D199" s="365">
        <v>4800000000</v>
      </c>
      <c r="F199" s="368" t="s">
        <v>1037</v>
      </c>
      <c r="H199" s="368"/>
      <c r="I199" s="368"/>
      <c r="J199" s="368"/>
      <c r="K199" s="369"/>
      <c r="L199" s="368"/>
      <c r="M199" s="368"/>
      <c r="N199" s="369"/>
      <c r="O199" s="368"/>
    </row>
    <row r="200" spans="1:15" s="287" customFormat="1" ht="231" x14ac:dyDescent="0.5">
      <c r="A200" s="481">
        <v>22</v>
      </c>
      <c r="B200" s="253" t="s">
        <v>1112</v>
      </c>
      <c r="C200" s="386">
        <v>3382648020</v>
      </c>
      <c r="E200" s="287" t="s">
        <v>1113</v>
      </c>
      <c r="F200" s="289" t="s">
        <v>256</v>
      </c>
      <c r="G200" s="287" t="s">
        <v>1114</v>
      </c>
      <c r="H200" s="289"/>
      <c r="I200" s="289"/>
      <c r="J200" s="289"/>
      <c r="K200" s="333" t="s">
        <v>1115</v>
      </c>
      <c r="L200" s="289"/>
      <c r="M200" s="289"/>
      <c r="N200" s="244"/>
      <c r="O200" s="289"/>
    </row>
    <row r="201" spans="1:15" s="341" customFormat="1" ht="126" x14ac:dyDescent="0.5">
      <c r="A201" s="481">
        <v>30</v>
      </c>
      <c r="B201" s="255" t="s">
        <v>1116</v>
      </c>
      <c r="C201" s="378">
        <v>1049235385</v>
      </c>
      <c r="D201" s="341" t="s">
        <v>1117</v>
      </c>
      <c r="F201" s="294" t="s">
        <v>996</v>
      </c>
      <c r="H201" s="294"/>
      <c r="I201" s="294"/>
      <c r="J201" s="294"/>
      <c r="K201" s="97" t="s">
        <v>1118</v>
      </c>
      <c r="L201" s="294"/>
      <c r="M201" s="294"/>
      <c r="N201" s="97"/>
      <c r="O201" s="294"/>
    </row>
    <row r="202" spans="1:15" s="341" customFormat="1" ht="105" x14ac:dyDescent="0.5">
      <c r="A202" s="60">
        <v>37</v>
      </c>
      <c r="B202" s="255" t="s">
        <v>1119</v>
      </c>
      <c r="C202" s="378">
        <v>3643413400</v>
      </c>
      <c r="F202" s="294" t="s">
        <v>1120</v>
      </c>
      <c r="H202" s="294"/>
      <c r="I202" s="294"/>
      <c r="J202" s="294"/>
      <c r="K202" s="97" t="s">
        <v>1121</v>
      </c>
      <c r="L202" s="294"/>
      <c r="M202" s="294"/>
      <c r="N202" s="97"/>
      <c r="O202" s="294"/>
    </row>
    <row r="203" spans="1:15" s="367" customFormat="1" ht="105" x14ac:dyDescent="0.5">
      <c r="A203" s="548">
        <v>40</v>
      </c>
      <c r="B203" s="364" t="s">
        <v>1122</v>
      </c>
      <c r="C203" s="365">
        <v>10000000000</v>
      </c>
      <c r="F203" s="364" t="s">
        <v>1123</v>
      </c>
      <c r="H203" s="368"/>
      <c r="I203" s="368"/>
      <c r="J203" s="368"/>
      <c r="K203" s="369" t="s">
        <v>1124</v>
      </c>
      <c r="L203" s="368"/>
      <c r="M203" s="368"/>
      <c r="N203" s="369"/>
      <c r="O203" s="368"/>
    </row>
    <row r="204" spans="1:15" s="341" customFormat="1" ht="84" x14ac:dyDescent="0.5">
      <c r="A204" s="481">
        <v>28</v>
      </c>
      <c r="B204" s="255" t="s">
        <v>1125</v>
      </c>
      <c r="C204" s="378">
        <v>318124800</v>
      </c>
      <c r="E204" s="341" t="s">
        <v>1126</v>
      </c>
      <c r="F204" s="294" t="s">
        <v>105</v>
      </c>
      <c r="H204" s="294"/>
      <c r="I204" s="294"/>
      <c r="J204" s="294"/>
      <c r="K204" s="97" t="s">
        <v>1127</v>
      </c>
      <c r="L204" s="294"/>
      <c r="M204" s="294"/>
      <c r="N204" s="97"/>
      <c r="O204" s="294"/>
    </row>
    <row r="205" spans="1:15" s="341" customFormat="1" ht="105" x14ac:dyDescent="0.5">
      <c r="A205" s="60">
        <v>31</v>
      </c>
      <c r="B205" s="255" t="s">
        <v>1128</v>
      </c>
      <c r="C205" s="378">
        <v>947774500</v>
      </c>
      <c r="F205" s="294" t="s">
        <v>1129</v>
      </c>
      <c r="H205" s="294"/>
      <c r="I205" s="294"/>
      <c r="J205" s="294"/>
      <c r="K205" s="97" t="s">
        <v>1130</v>
      </c>
      <c r="L205" s="294"/>
      <c r="M205" s="294"/>
      <c r="N205" s="97"/>
      <c r="O205" s="294"/>
    </row>
    <row r="206" spans="1:15" s="341" customFormat="1" ht="84" x14ac:dyDescent="0.5">
      <c r="A206" s="60">
        <v>35</v>
      </c>
      <c r="B206" s="255" t="s">
        <v>1131</v>
      </c>
      <c r="C206" s="378">
        <v>76723700</v>
      </c>
      <c r="F206" s="294" t="s">
        <v>207</v>
      </c>
      <c r="H206" s="294"/>
      <c r="I206" s="294"/>
      <c r="J206" s="294"/>
      <c r="K206" s="97" t="s">
        <v>1132</v>
      </c>
      <c r="L206" s="294"/>
      <c r="M206" s="294"/>
      <c r="N206" s="97"/>
      <c r="O206" s="294"/>
    </row>
    <row r="207" spans="1:15" s="287" customFormat="1" ht="126" x14ac:dyDescent="0.5">
      <c r="A207" s="481">
        <v>34</v>
      </c>
      <c r="B207" s="253" t="s">
        <v>1133</v>
      </c>
      <c r="C207" s="386">
        <v>489406600</v>
      </c>
      <c r="F207" s="289" t="s">
        <v>1134</v>
      </c>
      <c r="H207" s="289"/>
      <c r="I207" s="289"/>
      <c r="J207" s="289"/>
      <c r="K207" s="244" t="s">
        <v>1135</v>
      </c>
      <c r="L207" s="289"/>
      <c r="M207" s="289"/>
      <c r="N207" s="244"/>
      <c r="O207" s="289"/>
    </row>
    <row r="208" spans="1:15" s="367" customFormat="1" ht="126" x14ac:dyDescent="0.5">
      <c r="A208" s="363">
        <v>45</v>
      </c>
      <c r="B208" s="364" t="s">
        <v>1136</v>
      </c>
      <c r="C208" s="549">
        <v>10520347558</v>
      </c>
      <c r="F208" s="410" t="s">
        <v>1004</v>
      </c>
      <c r="G208" s="490" t="s">
        <v>1137</v>
      </c>
      <c r="H208" s="368"/>
      <c r="I208" s="368"/>
      <c r="J208" s="368"/>
      <c r="K208" s="369" t="s">
        <v>1138</v>
      </c>
      <c r="L208" s="368"/>
      <c r="M208" s="368"/>
      <c r="N208" s="369"/>
      <c r="O208" s="368"/>
    </row>
    <row r="209" spans="1:15" s="367" customFormat="1" ht="105" x14ac:dyDescent="0.5">
      <c r="A209" s="363">
        <v>31</v>
      </c>
      <c r="B209" s="364" t="s">
        <v>1139</v>
      </c>
      <c r="C209" s="365">
        <v>3519600000</v>
      </c>
      <c r="F209" s="368" t="s">
        <v>113</v>
      </c>
      <c r="H209" s="368"/>
      <c r="I209" s="368"/>
      <c r="J209" s="368"/>
      <c r="K209" s="369" t="s">
        <v>1140</v>
      </c>
      <c r="L209" s="368"/>
      <c r="M209" s="368"/>
      <c r="N209" s="369"/>
      <c r="O209" s="368"/>
    </row>
    <row r="210" spans="1:15" s="287" customFormat="1" ht="105" x14ac:dyDescent="0.5">
      <c r="A210" s="481">
        <v>36</v>
      </c>
      <c r="B210" s="253" t="s">
        <v>1141</v>
      </c>
      <c r="C210" s="386">
        <v>885570400</v>
      </c>
      <c r="F210" s="289" t="s">
        <v>1142</v>
      </c>
      <c r="H210" s="289"/>
      <c r="I210" s="289"/>
      <c r="J210" s="289"/>
      <c r="K210" s="244" t="s">
        <v>1143</v>
      </c>
      <c r="L210" s="289"/>
      <c r="M210" s="289"/>
      <c r="N210" s="244"/>
      <c r="O210" s="289"/>
    </row>
    <row r="211" spans="1:15" s="287" customFormat="1" ht="105" x14ac:dyDescent="0.5">
      <c r="A211" s="481">
        <v>34</v>
      </c>
      <c r="B211" s="253" t="s">
        <v>1144</v>
      </c>
      <c r="C211" s="386">
        <v>1271511600</v>
      </c>
      <c r="F211" s="289" t="s">
        <v>1145</v>
      </c>
      <c r="H211" s="289"/>
      <c r="I211" s="289"/>
      <c r="J211" s="289"/>
      <c r="K211" s="244" t="s">
        <v>1146</v>
      </c>
      <c r="L211" s="289"/>
      <c r="M211" s="289"/>
      <c r="N211" s="244"/>
      <c r="O211" s="289"/>
    </row>
    <row r="212" spans="1:15" s="367" customFormat="1" ht="42" x14ac:dyDescent="0.5">
      <c r="A212" s="548">
        <v>44</v>
      </c>
      <c r="B212" s="364" t="s">
        <v>1147</v>
      </c>
      <c r="F212" s="368" t="s">
        <v>1148</v>
      </c>
      <c r="H212" s="368"/>
      <c r="I212" s="368"/>
      <c r="J212" s="368"/>
      <c r="K212" s="369" t="s">
        <v>1149</v>
      </c>
      <c r="L212" s="368"/>
      <c r="M212" s="368"/>
      <c r="N212" s="369"/>
      <c r="O212" s="368"/>
    </row>
    <row r="213" spans="1:15" s="367" customFormat="1" ht="63" x14ac:dyDescent="0.5">
      <c r="A213" s="548">
        <v>40</v>
      </c>
      <c r="B213" s="364" t="s">
        <v>1150</v>
      </c>
      <c r="C213" s="498">
        <v>931846000</v>
      </c>
      <c r="F213" s="368" t="s">
        <v>1151</v>
      </c>
      <c r="H213" s="368"/>
      <c r="I213" s="368"/>
      <c r="J213" s="368"/>
      <c r="K213" s="369" t="s">
        <v>1152</v>
      </c>
      <c r="L213" s="368"/>
      <c r="M213" s="368"/>
      <c r="N213" s="369"/>
      <c r="O213" s="368"/>
    </row>
    <row r="214" spans="1:15" s="367" customFormat="1" ht="42" x14ac:dyDescent="0.5">
      <c r="A214" s="363">
        <v>45</v>
      </c>
      <c r="B214" s="364" t="s">
        <v>1153</v>
      </c>
      <c r="C214" s="498">
        <v>248640000</v>
      </c>
      <c r="F214" s="368" t="s">
        <v>113</v>
      </c>
      <c r="H214" s="368"/>
      <c r="I214" s="368"/>
      <c r="J214" s="368"/>
      <c r="K214" s="369" t="s">
        <v>1154</v>
      </c>
      <c r="L214" s="368"/>
      <c r="M214" s="368"/>
      <c r="N214" s="369"/>
      <c r="O214" s="368"/>
    </row>
    <row r="215" spans="1:15" s="367" customFormat="1" ht="42" x14ac:dyDescent="0.5">
      <c r="A215" s="363">
        <v>46</v>
      </c>
      <c r="B215" s="364" t="s">
        <v>1155</v>
      </c>
      <c r="C215" s="498">
        <v>204000000</v>
      </c>
      <c r="F215" s="368" t="s">
        <v>113</v>
      </c>
      <c r="H215" s="368"/>
      <c r="I215" s="368"/>
      <c r="J215" s="368"/>
      <c r="K215" s="369" t="s">
        <v>1156</v>
      </c>
      <c r="L215" s="368"/>
      <c r="M215" s="368"/>
      <c r="N215" s="369"/>
      <c r="O215" s="368"/>
    </row>
    <row r="216" spans="1:15" s="367" customFormat="1" ht="42" x14ac:dyDescent="0.5">
      <c r="A216" s="363">
        <v>47</v>
      </c>
      <c r="B216" s="364" t="s">
        <v>1157</v>
      </c>
      <c r="C216" s="498">
        <v>522595759</v>
      </c>
      <c r="F216" s="368" t="s">
        <v>113</v>
      </c>
      <c r="H216" s="368"/>
      <c r="I216" s="368"/>
      <c r="J216" s="368"/>
      <c r="K216" s="369"/>
      <c r="L216" s="368"/>
      <c r="M216" s="368"/>
      <c r="N216" s="369"/>
      <c r="O216" s="368"/>
    </row>
    <row r="217" spans="1:15" s="367" customFormat="1" ht="84" x14ac:dyDescent="0.5">
      <c r="A217" s="363">
        <v>48</v>
      </c>
      <c r="B217" s="364" t="s">
        <v>1158</v>
      </c>
      <c r="F217" s="368" t="s">
        <v>113</v>
      </c>
      <c r="H217" s="368"/>
      <c r="I217" s="368"/>
      <c r="J217" s="368"/>
      <c r="K217" s="369"/>
      <c r="L217" s="368"/>
      <c r="M217" s="368"/>
      <c r="N217" s="369"/>
      <c r="O217" s="368"/>
    </row>
    <row r="218" spans="1:15" s="341" customFormat="1" ht="84" x14ac:dyDescent="0.5">
      <c r="A218" s="60">
        <v>27</v>
      </c>
      <c r="B218" s="255" t="s">
        <v>1159</v>
      </c>
      <c r="C218" s="294" t="s">
        <v>1160</v>
      </c>
      <c r="F218" s="294" t="s">
        <v>276</v>
      </c>
      <c r="H218" s="294"/>
      <c r="I218" s="294"/>
      <c r="J218" s="294"/>
      <c r="K218" s="97" t="s">
        <v>1161</v>
      </c>
      <c r="L218" s="294"/>
      <c r="M218" s="294"/>
      <c r="N218" s="97"/>
      <c r="O218" s="294"/>
    </row>
    <row r="219" spans="1:15" s="341" customFormat="1" ht="105" x14ac:dyDescent="0.5">
      <c r="A219" s="60">
        <v>42</v>
      </c>
      <c r="B219" s="255" t="s">
        <v>1162</v>
      </c>
      <c r="C219" s="378">
        <v>910201300</v>
      </c>
      <c r="F219" s="294" t="s">
        <v>271</v>
      </c>
      <c r="H219" s="294"/>
      <c r="I219" s="294"/>
      <c r="J219" s="294"/>
      <c r="K219" s="97" t="s">
        <v>1163</v>
      </c>
      <c r="L219" s="294"/>
      <c r="M219" s="294"/>
      <c r="N219" s="97"/>
      <c r="O219" s="294"/>
    </row>
    <row r="220" spans="1:15" s="341" customFormat="1" ht="84" x14ac:dyDescent="0.5">
      <c r="A220" s="60">
        <v>43</v>
      </c>
      <c r="B220" s="255" t="s">
        <v>1164</v>
      </c>
      <c r="C220" s="378">
        <v>1166101915</v>
      </c>
      <c r="F220" s="294" t="s">
        <v>996</v>
      </c>
      <c r="H220" s="294"/>
      <c r="I220" s="294"/>
      <c r="J220" s="294"/>
      <c r="K220" s="97" t="s">
        <v>1165</v>
      </c>
      <c r="L220" s="294"/>
      <c r="M220" s="294"/>
      <c r="N220" s="97"/>
      <c r="O220" s="294"/>
    </row>
    <row r="221" spans="1:15" s="341" customFormat="1" ht="105" x14ac:dyDescent="0.5">
      <c r="A221" s="60">
        <v>44</v>
      </c>
      <c r="B221" s="255" t="s">
        <v>1166</v>
      </c>
      <c r="C221" s="378">
        <v>459273300</v>
      </c>
      <c r="F221" s="294" t="s">
        <v>1167</v>
      </c>
      <c r="H221" s="294"/>
      <c r="I221" s="294"/>
      <c r="J221" s="294"/>
      <c r="K221" s="97" t="s">
        <v>1168</v>
      </c>
      <c r="L221" s="294"/>
      <c r="M221" s="294"/>
      <c r="N221" s="97"/>
      <c r="O221" s="294"/>
    </row>
    <row r="222" spans="1:15" s="367" customFormat="1" ht="105" x14ac:dyDescent="0.5">
      <c r="A222" s="548">
        <v>42</v>
      </c>
      <c r="B222" s="364" t="s">
        <v>1169</v>
      </c>
      <c r="D222" s="500" t="s">
        <v>1170</v>
      </c>
      <c r="F222" s="368" t="s">
        <v>113</v>
      </c>
      <c r="H222" s="368"/>
      <c r="I222" s="368"/>
      <c r="J222" s="368"/>
      <c r="K222" s="369" t="s">
        <v>1171</v>
      </c>
      <c r="L222" s="368"/>
      <c r="M222" s="368"/>
      <c r="N222" s="369"/>
      <c r="O222" s="368"/>
    </row>
    <row r="223" spans="1:15" s="287" customFormat="1" ht="63" x14ac:dyDescent="0.5">
      <c r="A223" s="60">
        <v>31</v>
      </c>
      <c r="B223" s="253" t="s">
        <v>1172</v>
      </c>
      <c r="F223" s="289" t="s">
        <v>1173</v>
      </c>
      <c r="H223" s="289"/>
      <c r="I223" s="289"/>
      <c r="J223" s="289"/>
      <c r="K223" s="244" t="s">
        <v>1174</v>
      </c>
      <c r="L223" s="289"/>
      <c r="M223" s="289"/>
      <c r="N223" s="244"/>
      <c r="O223" s="289"/>
    </row>
    <row r="224" spans="1:15" s="367" customFormat="1" ht="63" x14ac:dyDescent="0.5">
      <c r="A224" s="363">
        <v>33</v>
      </c>
      <c r="B224" s="364" t="s">
        <v>1175</v>
      </c>
      <c r="C224" s="549">
        <v>5000000000</v>
      </c>
      <c r="F224" s="410" t="s">
        <v>1176</v>
      </c>
      <c r="H224" s="368"/>
      <c r="I224" s="368"/>
      <c r="J224" s="368"/>
      <c r="K224" s="369" t="s">
        <v>1177</v>
      </c>
      <c r="L224" s="368"/>
      <c r="M224" s="368"/>
      <c r="N224" s="369"/>
      <c r="O224" s="368"/>
    </row>
    <row r="225" spans="1:15" s="287" customFormat="1" ht="63" x14ac:dyDescent="0.5">
      <c r="A225" s="60">
        <v>27</v>
      </c>
      <c r="B225" s="253" t="s">
        <v>1178</v>
      </c>
      <c r="C225" s="386">
        <v>429625100</v>
      </c>
      <c r="F225" s="289" t="s">
        <v>914</v>
      </c>
      <c r="H225" s="289"/>
      <c r="I225" s="289"/>
      <c r="J225" s="289"/>
      <c r="K225" s="244" t="s">
        <v>1179</v>
      </c>
      <c r="L225" s="289"/>
      <c r="M225" s="289"/>
      <c r="N225" s="244"/>
      <c r="O225" s="289"/>
    </row>
    <row r="226" spans="1:15" s="367" customFormat="1" ht="42" x14ac:dyDescent="0.5">
      <c r="A226" s="363">
        <v>31</v>
      </c>
      <c r="B226" s="364" t="s">
        <v>1180</v>
      </c>
      <c r="C226" s="549">
        <v>13800000000</v>
      </c>
      <c r="F226" s="410" t="s">
        <v>1181</v>
      </c>
      <c r="H226" s="368" t="s">
        <v>1182</v>
      </c>
      <c r="I226" s="368"/>
      <c r="J226" s="368"/>
      <c r="K226" s="369" t="s">
        <v>1183</v>
      </c>
      <c r="L226" s="368"/>
      <c r="M226" s="368"/>
      <c r="N226" s="369"/>
      <c r="O226" s="368"/>
    </row>
    <row r="227" spans="1:15" s="341" customFormat="1" ht="147" x14ac:dyDescent="0.5">
      <c r="A227" s="60">
        <v>35</v>
      </c>
      <c r="B227" s="255" t="s">
        <v>1184</v>
      </c>
      <c r="C227" s="378">
        <v>158683200</v>
      </c>
      <c r="F227" s="61" t="s">
        <v>1185</v>
      </c>
      <c r="H227" s="294"/>
      <c r="I227" s="294"/>
      <c r="J227" s="294"/>
      <c r="K227" s="97" t="s">
        <v>1186</v>
      </c>
      <c r="L227" s="294"/>
      <c r="M227" s="294"/>
      <c r="N227" s="97"/>
      <c r="O227" s="294"/>
    </row>
    <row r="228" spans="1:15" s="367" customFormat="1" ht="105" x14ac:dyDescent="0.5">
      <c r="A228" s="481">
        <v>40</v>
      </c>
      <c r="B228" s="364" t="s">
        <v>1187</v>
      </c>
      <c r="F228" s="368" t="s">
        <v>113</v>
      </c>
      <c r="H228" s="368"/>
      <c r="I228" s="368"/>
      <c r="J228" s="368"/>
      <c r="K228" s="369" t="s">
        <v>1188</v>
      </c>
      <c r="L228" s="368"/>
      <c r="M228" s="368"/>
      <c r="N228" s="369"/>
      <c r="O228" s="368"/>
    </row>
    <row r="229" spans="1:15" s="287" customFormat="1" ht="105" x14ac:dyDescent="0.5">
      <c r="A229" s="60">
        <v>35</v>
      </c>
      <c r="B229" s="253" t="s">
        <v>1189</v>
      </c>
      <c r="C229" s="501">
        <f>230502076+1985873919</f>
        <v>2216375995</v>
      </c>
      <c r="F229" s="289" t="s">
        <v>1190</v>
      </c>
      <c r="H229" s="289"/>
      <c r="I229" s="289"/>
      <c r="J229" s="289"/>
      <c r="K229" s="244" t="s">
        <v>1191</v>
      </c>
      <c r="L229" s="289"/>
      <c r="M229" s="289"/>
      <c r="N229" s="244"/>
      <c r="O229" s="289"/>
    </row>
    <row r="230" spans="1:15" s="287" customFormat="1" ht="105" x14ac:dyDescent="0.5">
      <c r="A230" s="481">
        <v>36</v>
      </c>
      <c r="B230" s="253" t="s">
        <v>1192</v>
      </c>
      <c r="C230" s="501">
        <f>1079326566+549458070</f>
        <v>1628784636</v>
      </c>
      <c r="F230" s="289" t="s">
        <v>1193</v>
      </c>
      <c r="H230" s="289"/>
      <c r="I230" s="289"/>
      <c r="J230" s="289"/>
      <c r="K230" s="244" t="s">
        <v>1191</v>
      </c>
      <c r="L230" s="289"/>
      <c r="M230" s="289"/>
      <c r="N230" s="244"/>
      <c r="O230" s="289"/>
    </row>
    <row r="231" spans="1:15" s="341" customFormat="1" ht="105" x14ac:dyDescent="0.5">
      <c r="A231" s="60">
        <v>35</v>
      </c>
      <c r="B231" s="255" t="s">
        <v>1194</v>
      </c>
      <c r="C231" s="378">
        <v>60902400</v>
      </c>
      <c r="F231" s="294" t="s">
        <v>914</v>
      </c>
      <c r="H231" s="294"/>
      <c r="I231" s="294"/>
      <c r="J231" s="294"/>
      <c r="K231" s="97" t="s">
        <v>1195</v>
      </c>
      <c r="L231" s="294"/>
      <c r="M231" s="294"/>
      <c r="N231" s="97"/>
      <c r="O231" s="294"/>
    </row>
    <row r="232" spans="1:15" s="287" customFormat="1" ht="84" x14ac:dyDescent="0.5">
      <c r="A232" s="60">
        <v>41</v>
      </c>
      <c r="B232" s="253" t="s">
        <v>1196</v>
      </c>
      <c r="C232" s="379">
        <v>44755200</v>
      </c>
      <c r="F232" s="368" t="s">
        <v>113</v>
      </c>
      <c r="H232" s="289"/>
      <c r="I232" s="289"/>
      <c r="J232" s="289"/>
      <c r="K232" s="244" t="s">
        <v>1197</v>
      </c>
      <c r="L232" s="289"/>
      <c r="M232" s="289"/>
      <c r="N232" s="244"/>
      <c r="O232" s="289"/>
    </row>
    <row r="233" spans="1:15" s="341" customFormat="1" ht="189" x14ac:dyDescent="0.5">
      <c r="A233" s="60">
        <v>33</v>
      </c>
      <c r="B233" s="255" t="s">
        <v>1198</v>
      </c>
      <c r="C233" s="375">
        <v>336253800</v>
      </c>
      <c r="F233" s="61" t="s">
        <v>1142</v>
      </c>
      <c r="H233" s="294"/>
      <c r="I233" s="294"/>
      <c r="J233" s="294"/>
      <c r="K233" s="97" t="s">
        <v>1199</v>
      </c>
      <c r="L233" s="294"/>
      <c r="M233" s="294"/>
      <c r="N233" s="97"/>
      <c r="O233" s="294"/>
    </row>
    <row r="234" spans="1:15" s="341" customFormat="1" ht="126" x14ac:dyDescent="0.5">
      <c r="A234" s="481">
        <v>38</v>
      </c>
      <c r="B234" s="255" t="s">
        <v>1200</v>
      </c>
      <c r="D234" s="294" t="s">
        <v>1201</v>
      </c>
      <c r="F234" s="294" t="s">
        <v>105</v>
      </c>
      <c r="H234" s="294"/>
      <c r="I234" s="294"/>
      <c r="J234" s="294"/>
      <c r="K234" s="97" t="s">
        <v>1202</v>
      </c>
      <c r="L234" s="294"/>
      <c r="M234" s="294"/>
      <c r="N234" s="97"/>
      <c r="O234" s="294"/>
    </row>
    <row r="235" spans="1:15" s="287" customFormat="1" ht="84" x14ac:dyDescent="0.5">
      <c r="A235" s="481">
        <v>40</v>
      </c>
      <c r="B235" s="253" t="s">
        <v>1203</v>
      </c>
      <c r="C235" s="386">
        <v>724751500</v>
      </c>
      <c r="F235" s="289" t="s">
        <v>1204</v>
      </c>
      <c r="H235" s="289"/>
      <c r="I235" s="244" t="s">
        <v>1205</v>
      </c>
      <c r="J235" s="289"/>
      <c r="K235" s="244" t="s">
        <v>1205</v>
      </c>
      <c r="L235" s="289"/>
      <c r="M235" s="289"/>
      <c r="N235" s="244"/>
      <c r="O235" s="289"/>
    </row>
    <row r="236" spans="1:15" s="287" customFormat="1" ht="252" x14ac:dyDescent="0.5">
      <c r="A236" s="60">
        <v>13</v>
      </c>
      <c r="B236" s="253" t="s">
        <v>1206</v>
      </c>
      <c r="C236" s="421">
        <v>3324796000</v>
      </c>
      <c r="E236" s="289" t="s">
        <v>1207</v>
      </c>
      <c r="F236" s="291" t="s">
        <v>1073</v>
      </c>
      <c r="G236" s="289" t="s">
        <v>1208</v>
      </c>
      <c r="H236" s="289"/>
      <c r="I236" s="289" t="s">
        <v>1209</v>
      </c>
      <c r="J236" s="289"/>
      <c r="K236" s="244" t="s">
        <v>1210</v>
      </c>
      <c r="L236" s="289"/>
      <c r="M236" s="289"/>
      <c r="N236" s="244"/>
      <c r="O236" s="289"/>
    </row>
    <row r="237" spans="1:15" s="341" customFormat="1" ht="105" x14ac:dyDescent="0.5">
      <c r="A237" s="60">
        <v>37</v>
      </c>
      <c r="B237" s="255" t="s">
        <v>1211</v>
      </c>
      <c r="C237" s="378">
        <v>665618100</v>
      </c>
      <c r="F237" s="294" t="s">
        <v>1212</v>
      </c>
      <c r="H237" s="294"/>
      <c r="I237" s="294"/>
      <c r="J237" s="294"/>
      <c r="K237" s="97" t="s">
        <v>1213</v>
      </c>
      <c r="L237" s="294"/>
      <c r="M237" s="294"/>
      <c r="N237" s="97"/>
      <c r="O237" s="294"/>
    </row>
    <row r="238" spans="1:15" s="287" customFormat="1" ht="105" x14ac:dyDescent="0.5">
      <c r="A238" s="60">
        <v>39</v>
      </c>
      <c r="B238" s="253" t="s">
        <v>1214</v>
      </c>
      <c r="C238" s="386">
        <v>60902400</v>
      </c>
      <c r="F238" s="289" t="s">
        <v>914</v>
      </c>
      <c r="H238" s="289"/>
      <c r="I238" s="244" t="s">
        <v>1205</v>
      </c>
      <c r="J238" s="289"/>
      <c r="K238" s="244" t="s">
        <v>1215</v>
      </c>
      <c r="L238" s="289"/>
      <c r="M238" s="289"/>
      <c r="N238" s="244"/>
      <c r="O238" s="289"/>
    </row>
    <row r="239" spans="1:15" s="287" customFormat="1" ht="168" x14ac:dyDescent="0.5">
      <c r="A239" s="60">
        <v>41</v>
      </c>
      <c r="B239" s="253" t="s">
        <v>1216</v>
      </c>
      <c r="C239" s="386">
        <v>1109306259</v>
      </c>
      <c r="F239" s="291" t="s">
        <v>105</v>
      </c>
      <c r="H239" s="289"/>
      <c r="I239" s="244" t="s">
        <v>1217</v>
      </c>
      <c r="J239" s="289"/>
      <c r="K239" s="244" t="s">
        <v>1218</v>
      </c>
      <c r="L239" s="289"/>
      <c r="M239" s="289"/>
      <c r="N239" s="244"/>
      <c r="O239" s="289"/>
    </row>
    <row r="240" spans="1:15" s="367" customFormat="1" ht="42" x14ac:dyDescent="0.5">
      <c r="A240" s="363">
        <v>45</v>
      </c>
      <c r="B240" s="364" t="s">
        <v>1219</v>
      </c>
      <c r="C240" s="365">
        <v>1300000000</v>
      </c>
      <c r="F240" s="368" t="s">
        <v>113</v>
      </c>
      <c r="H240" s="368"/>
      <c r="I240" s="368"/>
      <c r="J240" s="368"/>
      <c r="K240" s="369" t="s">
        <v>1220</v>
      </c>
      <c r="L240" s="368"/>
      <c r="M240" s="368"/>
      <c r="N240" s="369"/>
      <c r="O240" s="368"/>
    </row>
    <row r="241" spans="1:15" s="367" customFormat="1" ht="42" x14ac:dyDescent="0.5">
      <c r="A241" s="363">
        <v>46</v>
      </c>
      <c r="B241" s="364" t="s">
        <v>1221</v>
      </c>
      <c r="C241" s="365">
        <v>3000000000</v>
      </c>
      <c r="F241" s="368" t="s">
        <v>113</v>
      </c>
      <c r="H241" s="368"/>
      <c r="I241" s="368"/>
      <c r="J241" s="368"/>
      <c r="K241" s="369" t="s">
        <v>1222</v>
      </c>
      <c r="L241" s="368"/>
      <c r="M241" s="368"/>
      <c r="N241" s="369"/>
      <c r="O241" s="368"/>
    </row>
    <row r="242" spans="1:15" s="287" customFormat="1" ht="105" x14ac:dyDescent="0.5">
      <c r="A242" s="504">
        <v>6</v>
      </c>
      <c r="B242" s="255" t="s">
        <v>278</v>
      </c>
      <c r="C242" s="472"/>
      <c r="D242" s="472">
        <v>15948442300</v>
      </c>
      <c r="E242" s="341" t="s">
        <v>279</v>
      </c>
      <c r="F242" s="61" t="s">
        <v>280</v>
      </c>
      <c r="G242" s="341"/>
      <c r="H242" s="294"/>
      <c r="I242" s="294" t="s">
        <v>95</v>
      </c>
      <c r="J242" s="294"/>
      <c r="K242" s="97" t="s">
        <v>1223</v>
      </c>
      <c r="L242" s="294"/>
      <c r="M242" s="294"/>
      <c r="N242" s="244"/>
      <c r="O242" s="289"/>
    </row>
    <row r="243" spans="1:15" s="287" customFormat="1" ht="126" x14ac:dyDescent="0.5">
      <c r="A243" s="481">
        <v>42</v>
      </c>
      <c r="B243" s="253" t="s">
        <v>1224</v>
      </c>
      <c r="C243" s="386">
        <v>1116197400</v>
      </c>
      <c r="F243" s="289" t="s">
        <v>996</v>
      </c>
      <c r="H243" s="289"/>
      <c r="I243" s="244" t="s">
        <v>1225</v>
      </c>
      <c r="J243" s="289"/>
      <c r="K243" s="244" t="s">
        <v>1226</v>
      </c>
      <c r="L243" s="289"/>
      <c r="M243" s="289"/>
      <c r="N243" s="244"/>
      <c r="O243" s="289"/>
    </row>
    <row r="244" spans="1:15" s="287" customFormat="1" ht="105" x14ac:dyDescent="0.5">
      <c r="A244" s="503">
        <v>47</v>
      </c>
      <c r="B244" s="253" t="s">
        <v>1227</v>
      </c>
      <c r="C244" s="386">
        <v>734556750</v>
      </c>
      <c r="D244" s="287" t="s">
        <v>1228</v>
      </c>
      <c r="F244" s="289" t="s">
        <v>992</v>
      </c>
      <c r="H244" s="289"/>
      <c r="I244" s="289"/>
      <c r="J244" s="289"/>
      <c r="K244" s="244" t="s">
        <v>1229</v>
      </c>
      <c r="L244" s="289"/>
      <c r="M244" s="289"/>
      <c r="N244" s="244"/>
      <c r="O244" s="289"/>
    </row>
    <row r="245" spans="1:15" s="367" customFormat="1" ht="126" x14ac:dyDescent="0.5">
      <c r="A245" s="363">
        <v>48</v>
      </c>
      <c r="B245" s="364" t="s">
        <v>1230</v>
      </c>
      <c r="F245" s="368" t="s">
        <v>113</v>
      </c>
      <c r="H245" s="368"/>
      <c r="I245" s="368"/>
      <c r="J245" s="368"/>
      <c r="K245" s="369" t="s">
        <v>1231</v>
      </c>
      <c r="L245" s="368"/>
      <c r="M245" s="368"/>
      <c r="N245" s="369"/>
      <c r="O245" s="368"/>
    </row>
    <row r="246" spans="1:15" s="287" customFormat="1" ht="126" x14ac:dyDescent="0.5">
      <c r="A246" s="481">
        <v>38</v>
      </c>
      <c r="B246" s="253" t="s">
        <v>1232</v>
      </c>
      <c r="C246" s="386">
        <v>330250494</v>
      </c>
      <c r="F246" s="289" t="s">
        <v>1073</v>
      </c>
      <c r="H246" s="289"/>
      <c r="I246" s="289"/>
      <c r="J246" s="289"/>
      <c r="K246" s="244" t="s">
        <v>1233</v>
      </c>
      <c r="L246" s="289"/>
      <c r="M246" s="289"/>
      <c r="N246" s="244"/>
      <c r="O246" s="289"/>
    </row>
    <row r="247" spans="1:15" s="287" customFormat="1" ht="168" x14ac:dyDescent="0.5">
      <c r="A247" s="481">
        <v>40</v>
      </c>
      <c r="B247" s="253" t="s">
        <v>1234</v>
      </c>
      <c r="C247" s="386">
        <v>3517549420</v>
      </c>
      <c r="F247" s="289" t="s">
        <v>1073</v>
      </c>
      <c r="H247" s="289"/>
      <c r="I247" s="289"/>
      <c r="J247" s="289"/>
      <c r="K247" s="244" t="s">
        <v>1235</v>
      </c>
      <c r="L247" s="289"/>
      <c r="M247" s="289"/>
      <c r="N247" s="244"/>
      <c r="O247" s="289"/>
    </row>
    <row r="248" spans="1:15" s="382" customFormat="1" ht="42" x14ac:dyDescent="0.5">
      <c r="A248" s="380"/>
      <c r="B248" s="381" t="s">
        <v>1236</v>
      </c>
      <c r="C248" s="419">
        <v>6500000000</v>
      </c>
      <c r="F248" s="383" t="s">
        <v>1004</v>
      </c>
      <c r="H248" s="383"/>
      <c r="I248" s="383"/>
      <c r="J248" s="383"/>
      <c r="K248" s="384"/>
      <c r="L248" s="383"/>
      <c r="M248" s="383"/>
      <c r="N248" s="384"/>
      <c r="O248" s="383"/>
    </row>
    <row r="249" spans="1:15" s="287" customFormat="1" ht="63" x14ac:dyDescent="0.5">
      <c r="A249" s="60">
        <v>23</v>
      </c>
      <c r="B249" s="253" t="s">
        <v>1237</v>
      </c>
      <c r="C249" s="386">
        <v>217832000</v>
      </c>
      <c r="F249" s="289" t="s">
        <v>1238</v>
      </c>
      <c r="H249" s="289"/>
      <c r="I249" s="289"/>
      <c r="J249" s="289"/>
      <c r="K249" s="244" t="s">
        <v>1239</v>
      </c>
      <c r="L249" s="289"/>
      <c r="M249" s="289"/>
      <c r="N249" s="244"/>
      <c r="O249" s="289"/>
    </row>
    <row r="250" spans="1:15" s="341" customFormat="1" ht="105" x14ac:dyDescent="0.5">
      <c r="A250" s="481">
        <v>28</v>
      </c>
      <c r="B250" s="255" t="s">
        <v>1240</v>
      </c>
      <c r="C250" s="378">
        <v>65223800</v>
      </c>
      <c r="F250" s="294" t="s">
        <v>271</v>
      </c>
      <c r="H250" s="294"/>
      <c r="I250" s="294"/>
      <c r="J250" s="294"/>
      <c r="K250" s="97" t="s">
        <v>1241</v>
      </c>
      <c r="L250" s="294"/>
      <c r="M250" s="294"/>
      <c r="N250" s="97"/>
      <c r="O250" s="294"/>
    </row>
    <row r="251" spans="1:15" s="341" customFormat="1" ht="63" x14ac:dyDescent="0.5">
      <c r="A251" s="481">
        <v>32</v>
      </c>
      <c r="B251" s="255" t="s">
        <v>1242</v>
      </c>
      <c r="C251" s="378">
        <v>5626171300</v>
      </c>
      <c r="D251" s="507" t="s">
        <v>1243</v>
      </c>
      <c r="F251" s="294" t="s">
        <v>1244</v>
      </c>
      <c r="H251" s="294"/>
      <c r="I251" s="294"/>
      <c r="J251" s="294"/>
      <c r="K251" s="97" t="s">
        <v>1245</v>
      </c>
      <c r="L251" s="294"/>
      <c r="M251" s="294"/>
      <c r="N251" s="97"/>
      <c r="O251" s="294"/>
    </row>
    <row r="252" spans="1:15" s="341" customFormat="1" ht="63" x14ac:dyDescent="0.5">
      <c r="A252" s="510">
        <v>36</v>
      </c>
      <c r="B252" s="255" t="s">
        <v>1246</v>
      </c>
      <c r="C252" s="375">
        <v>43752000</v>
      </c>
      <c r="F252" s="294" t="s">
        <v>914</v>
      </c>
      <c r="H252" s="294"/>
      <c r="I252" s="97" t="s">
        <v>1247</v>
      </c>
      <c r="J252" s="294"/>
      <c r="K252" s="97" t="s">
        <v>1248</v>
      </c>
      <c r="L252" s="294"/>
      <c r="M252" s="294"/>
      <c r="N252" s="97"/>
      <c r="O252" s="294"/>
    </row>
    <row r="253" spans="1:15" s="287" customFormat="1" ht="168" x14ac:dyDescent="0.5">
      <c r="A253" s="512">
        <v>24</v>
      </c>
      <c r="B253" s="253" t="s">
        <v>1249</v>
      </c>
      <c r="C253" s="386">
        <v>875920500</v>
      </c>
      <c r="D253" s="287" t="s">
        <v>1250</v>
      </c>
      <c r="F253" s="506" t="s">
        <v>1251</v>
      </c>
      <c r="H253" s="289"/>
      <c r="I253" s="289"/>
      <c r="J253" s="289"/>
      <c r="K253" s="244" t="s">
        <v>1252</v>
      </c>
      <c r="L253" s="289"/>
      <c r="M253" s="289"/>
      <c r="N253" s="244"/>
      <c r="O253" s="289"/>
    </row>
    <row r="254" spans="1:15" s="287" customFormat="1" ht="168" x14ac:dyDescent="0.5">
      <c r="A254" s="60">
        <v>37</v>
      </c>
      <c r="B254" s="253" t="s">
        <v>1253</v>
      </c>
      <c r="C254" s="386">
        <v>392238000</v>
      </c>
      <c r="F254" s="289" t="s">
        <v>1254</v>
      </c>
      <c r="H254" s="289"/>
      <c r="I254" s="289"/>
      <c r="J254" s="289"/>
      <c r="K254" s="244" t="s">
        <v>1255</v>
      </c>
      <c r="L254" s="289"/>
      <c r="M254" s="289"/>
      <c r="N254" s="244"/>
      <c r="O254" s="289"/>
    </row>
    <row r="255" spans="1:15" s="287" customFormat="1" ht="210" x14ac:dyDescent="0.5">
      <c r="A255" s="60">
        <v>41</v>
      </c>
      <c r="B255" s="253" t="s">
        <v>1256</v>
      </c>
      <c r="C255" s="421">
        <v>3170050000</v>
      </c>
      <c r="F255" s="291" t="s">
        <v>1257</v>
      </c>
      <c r="H255" s="289"/>
      <c r="I255" s="289"/>
      <c r="J255" s="289"/>
      <c r="K255" s="244" t="s">
        <v>1258</v>
      </c>
      <c r="L255" s="289"/>
      <c r="M255" s="289"/>
      <c r="N255" s="244"/>
      <c r="O255" s="289"/>
    </row>
    <row r="256" spans="1:15" s="287" customFormat="1" ht="105" x14ac:dyDescent="0.5">
      <c r="A256" s="481">
        <v>42</v>
      </c>
      <c r="B256" s="253" t="s">
        <v>1259</v>
      </c>
      <c r="F256" s="289" t="s">
        <v>111</v>
      </c>
      <c r="H256" s="289"/>
      <c r="I256" s="289"/>
      <c r="J256" s="289"/>
      <c r="K256" s="244" t="s">
        <v>1260</v>
      </c>
      <c r="L256" s="289"/>
      <c r="M256" s="289"/>
      <c r="N256" s="244"/>
      <c r="O256" s="289"/>
    </row>
    <row r="257" spans="1:15" s="287" customFormat="1" ht="126" x14ac:dyDescent="0.5">
      <c r="A257" s="481">
        <v>44</v>
      </c>
      <c r="B257" s="253" t="s">
        <v>1261</v>
      </c>
      <c r="F257" s="289" t="s">
        <v>111</v>
      </c>
      <c r="H257" s="289"/>
      <c r="I257" s="289"/>
      <c r="J257" s="289"/>
      <c r="K257" s="244" t="s">
        <v>1262</v>
      </c>
      <c r="L257" s="289"/>
      <c r="M257" s="289"/>
      <c r="N257" s="244"/>
      <c r="O257" s="289"/>
    </row>
    <row r="258" spans="1:15" s="400" customFormat="1" ht="42" x14ac:dyDescent="0.5">
      <c r="A258" s="432">
        <v>7</v>
      </c>
      <c r="B258" s="399" t="s">
        <v>1263</v>
      </c>
      <c r="F258" s="401" t="s">
        <v>113</v>
      </c>
      <c r="H258" s="401"/>
      <c r="I258" s="401"/>
      <c r="J258" s="401"/>
      <c r="K258" s="402" t="s">
        <v>1264</v>
      </c>
      <c r="L258" s="401"/>
      <c r="M258" s="401"/>
      <c r="N258" s="402"/>
      <c r="O258" s="401"/>
    </row>
    <row r="259" spans="1:15" s="400" customFormat="1" ht="84" x14ac:dyDescent="0.5">
      <c r="A259" s="432">
        <v>8</v>
      </c>
      <c r="B259" s="399" t="s">
        <v>1265</v>
      </c>
      <c r="F259" s="401" t="s">
        <v>113</v>
      </c>
      <c r="H259" s="401"/>
      <c r="I259" s="401"/>
      <c r="J259" s="401"/>
      <c r="K259" s="402" t="s">
        <v>1266</v>
      </c>
      <c r="L259" s="401"/>
      <c r="M259" s="401"/>
      <c r="N259" s="402"/>
      <c r="O259" s="401"/>
    </row>
    <row r="260" spans="1:15" s="341" customFormat="1" ht="126" x14ac:dyDescent="0.5">
      <c r="A260" s="511">
        <v>29</v>
      </c>
      <c r="B260" s="255" t="s">
        <v>1267</v>
      </c>
      <c r="C260" s="362">
        <f>1494960280+618749219</f>
        <v>2113709499</v>
      </c>
      <c r="D260" s="362">
        <v>113000000000</v>
      </c>
      <c r="E260" s="294" t="s">
        <v>1268</v>
      </c>
      <c r="F260" s="505" t="s">
        <v>1129</v>
      </c>
      <c r="H260" s="294"/>
      <c r="I260" s="294"/>
      <c r="J260" s="294"/>
      <c r="K260" s="97" t="s">
        <v>1269</v>
      </c>
      <c r="L260" s="294"/>
      <c r="M260" s="294"/>
      <c r="N260" s="97"/>
      <c r="O260" s="294"/>
    </row>
    <row r="261" spans="1:15" s="367" customFormat="1" ht="42" x14ac:dyDescent="0.5">
      <c r="A261" s="363">
        <v>51</v>
      </c>
      <c r="B261" s="364" t="s">
        <v>1263</v>
      </c>
      <c r="F261" s="368" t="s">
        <v>113</v>
      </c>
      <c r="H261" s="368"/>
      <c r="I261" s="368"/>
      <c r="J261" s="368"/>
      <c r="K261" s="369"/>
      <c r="L261" s="368"/>
      <c r="M261" s="368"/>
      <c r="N261" s="369"/>
      <c r="O261" s="368"/>
    </row>
    <row r="262" spans="1:15" s="367" customFormat="1" ht="189" x14ac:dyDescent="0.5">
      <c r="A262" s="363">
        <v>52</v>
      </c>
      <c r="B262" s="364" t="s">
        <v>1265</v>
      </c>
      <c r="F262" s="368" t="s">
        <v>113</v>
      </c>
      <c r="H262" s="368"/>
      <c r="I262" s="368"/>
      <c r="J262" s="368"/>
      <c r="K262" s="369" t="s">
        <v>1270</v>
      </c>
      <c r="L262" s="368"/>
      <c r="M262" s="368"/>
      <c r="N262" s="369"/>
      <c r="O262" s="368"/>
    </row>
    <row r="263" spans="1:15" s="341" customFormat="1" ht="84" x14ac:dyDescent="0.5">
      <c r="A263" s="60">
        <v>53</v>
      </c>
      <c r="B263" s="255" t="s">
        <v>1265</v>
      </c>
      <c r="F263" s="294" t="s">
        <v>1142</v>
      </c>
      <c r="H263" s="294"/>
      <c r="I263" s="294"/>
      <c r="J263" s="294"/>
      <c r="K263" s="244" t="s">
        <v>1271</v>
      </c>
      <c r="L263" s="294"/>
      <c r="M263" s="294"/>
      <c r="N263" s="97"/>
      <c r="O263" s="294"/>
    </row>
    <row r="264" spans="1:15" s="367" customFormat="1" ht="63" x14ac:dyDescent="0.5">
      <c r="A264" s="363">
        <v>14</v>
      </c>
      <c r="B264" s="364" t="s">
        <v>1272</v>
      </c>
      <c r="D264" s="367" t="s">
        <v>1273</v>
      </c>
      <c r="F264" s="368" t="s">
        <v>1274</v>
      </c>
      <c r="H264" s="368"/>
      <c r="I264" s="368"/>
      <c r="J264" s="368"/>
      <c r="K264" s="369" t="s">
        <v>1275</v>
      </c>
      <c r="L264" s="368"/>
      <c r="M264" s="368"/>
      <c r="N264" s="369"/>
      <c r="O264" s="368"/>
    </row>
    <row r="265" spans="1:15" s="287" customFormat="1" ht="84" x14ac:dyDescent="0.5">
      <c r="A265" s="190">
        <v>36</v>
      </c>
      <c r="B265" s="253" t="s">
        <v>1276</v>
      </c>
      <c r="F265" s="289" t="s">
        <v>1277</v>
      </c>
      <c r="H265" s="289"/>
      <c r="I265" s="289"/>
      <c r="J265" s="289"/>
      <c r="K265" s="244" t="s">
        <v>1278</v>
      </c>
      <c r="L265" s="289"/>
      <c r="M265" s="289"/>
      <c r="N265" s="244"/>
      <c r="O265" s="289"/>
    </row>
    <row r="266" spans="1:15" s="287" customFormat="1" ht="84" x14ac:dyDescent="0.5">
      <c r="A266" s="190">
        <v>38</v>
      </c>
      <c r="B266" s="253" t="s">
        <v>1279</v>
      </c>
      <c r="F266" s="289" t="s">
        <v>1280</v>
      </c>
      <c r="H266" s="289"/>
      <c r="I266" s="289"/>
      <c r="J266" s="289"/>
      <c r="K266" s="244" t="s">
        <v>1281</v>
      </c>
      <c r="L266" s="289"/>
      <c r="M266" s="289"/>
      <c r="N266" s="244"/>
      <c r="O266" s="289"/>
    </row>
    <row r="267" spans="1:15" s="367" customFormat="1" ht="63" x14ac:dyDescent="0.5">
      <c r="A267" s="363">
        <v>28</v>
      </c>
      <c r="B267" s="364" t="s">
        <v>1282</v>
      </c>
      <c r="C267" s="365">
        <v>6011000000</v>
      </c>
      <c r="D267" s="367" t="s">
        <v>284</v>
      </c>
      <c r="F267" s="368"/>
      <c r="H267" s="368"/>
      <c r="I267" s="368"/>
      <c r="J267" s="368"/>
      <c r="K267" s="369"/>
      <c r="L267" s="368"/>
      <c r="M267" s="368"/>
      <c r="N267" s="369"/>
      <c r="O267" s="368"/>
    </row>
    <row r="268" spans="1:15" s="367" customFormat="1" ht="63" x14ac:dyDescent="0.5">
      <c r="A268" s="548">
        <v>29</v>
      </c>
      <c r="B268" s="364" t="s">
        <v>1283</v>
      </c>
      <c r="C268" s="365">
        <v>7041188000</v>
      </c>
      <c r="E268" s="367" t="s">
        <v>1284</v>
      </c>
      <c r="F268" s="368"/>
      <c r="H268" s="368"/>
      <c r="I268" s="368"/>
      <c r="J268" s="368"/>
      <c r="K268" s="369"/>
      <c r="L268" s="368"/>
      <c r="M268" s="368"/>
      <c r="N268" s="369"/>
      <c r="O268" s="368"/>
    </row>
    <row r="269" spans="1:15" s="367" customFormat="1" ht="105" x14ac:dyDescent="0.5">
      <c r="A269" s="363">
        <v>32</v>
      </c>
      <c r="B269" s="364" t="s">
        <v>1285</v>
      </c>
      <c r="C269" s="365">
        <v>5496945000</v>
      </c>
      <c r="D269" s="367" t="s">
        <v>284</v>
      </c>
      <c r="F269" s="368"/>
      <c r="H269" s="368"/>
      <c r="I269" s="368"/>
      <c r="J269" s="368"/>
      <c r="K269" s="369"/>
      <c r="L269" s="368"/>
      <c r="M269" s="368"/>
      <c r="N269" s="369"/>
      <c r="O269" s="368"/>
    </row>
    <row r="270" spans="1:15" s="341" customFormat="1" ht="168" x14ac:dyDescent="0.5">
      <c r="A270" s="60">
        <v>34</v>
      </c>
      <c r="B270" s="255" t="s">
        <v>1286</v>
      </c>
      <c r="C270" s="378">
        <v>1163967360</v>
      </c>
      <c r="D270" s="294" t="s">
        <v>1287</v>
      </c>
      <c r="F270" s="294" t="s">
        <v>1142</v>
      </c>
      <c r="H270" s="294" t="s">
        <v>1288</v>
      </c>
      <c r="I270" s="294"/>
      <c r="J270" s="294"/>
      <c r="K270" s="244" t="s">
        <v>1289</v>
      </c>
      <c r="L270" s="294"/>
      <c r="M270" s="294"/>
      <c r="N270" s="97"/>
      <c r="O270" s="294"/>
    </row>
    <row r="271" spans="1:15" s="287" customFormat="1" ht="126" x14ac:dyDescent="0.5">
      <c r="A271" s="190">
        <v>35</v>
      </c>
      <c r="B271" s="253" t="s">
        <v>1290</v>
      </c>
      <c r="D271" s="287" t="s">
        <v>1284</v>
      </c>
      <c r="F271" s="289" t="s">
        <v>1073</v>
      </c>
      <c r="H271" s="289"/>
      <c r="I271" s="289"/>
      <c r="J271" s="289"/>
      <c r="K271" s="244" t="s">
        <v>1291</v>
      </c>
      <c r="L271" s="289"/>
      <c r="M271" s="289"/>
      <c r="N271" s="244"/>
      <c r="O271" s="289"/>
    </row>
    <row r="272" spans="1:15" s="372" customFormat="1" ht="126" x14ac:dyDescent="0.5">
      <c r="A272" s="387">
        <v>39</v>
      </c>
      <c r="B272" s="388" t="s">
        <v>1292</v>
      </c>
      <c r="D272" s="372" t="s">
        <v>1293</v>
      </c>
      <c r="F272" s="389" t="s">
        <v>1274</v>
      </c>
      <c r="H272" s="389"/>
      <c r="I272" s="389"/>
      <c r="J272" s="389"/>
      <c r="K272" s="390" t="s">
        <v>1294</v>
      </c>
      <c r="L272" s="389"/>
      <c r="M272" s="389"/>
      <c r="N272" s="390"/>
      <c r="O272" s="389"/>
    </row>
    <row r="273" spans="1:15" s="287" customFormat="1" ht="63" x14ac:dyDescent="0.5">
      <c r="A273" s="190">
        <v>42</v>
      </c>
      <c r="B273" s="253" t="s">
        <v>1295</v>
      </c>
      <c r="F273" s="289"/>
      <c r="H273" s="289"/>
      <c r="I273" s="289"/>
      <c r="J273" s="289"/>
      <c r="K273" s="244" t="s">
        <v>1296</v>
      </c>
      <c r="L273" s="289"/>
      <c r="M273" s="289"/>
      <c r="N273" s="244"/>
      <c r="O273" s="289"/>
    </row>
    <row r="274" spans="1:15" s="287" customFormat="1" ht="252" x14ac:dyDescent="0.5">
      <c r="A274" s="60">
        <v>7</v>
      </c>
      <c r="B274" s="255" t="s">
        <v>360</v>
      </c>
      <c r="C274" s="378">
        <v>216170300</v>
      </c>
      <c r="D274" s="341"/>
      <c r="E274" s="494" t="s">
        <v>1297</v>
      </c>
      <c r="F274" s="294" t="s">
        <v>762</v>
      </c>
      <c r="G274" s="341"/>
      <c r="H274" s="294"/>
      <c r="I274" s="97" t="s">
        <v>1298</v>
      </c>
      <c r="J274" s="294"/>
      <c r="K274" s="97" t="s">
        <v>1299</v>
      </c>
      <c r="L274" s="294"/>
      <c r="M274" s="294"/>
      <c r="N274" s="97"/>
      <c r="O274" s="294"/>
    </row>
    <row r="275" spans="1:15" s="367" customFormat="1" ht="63" x14ac:dyDescent="0.5">
      <c r="A275" s="363">
        <v>30</v>
      </c>
      <c r="B275" s="364" t="s">
        <v>1300</v>
      </c>
      <c r="C275" s="365">
        <v>8196840000</v>
      </c>
      <c r="D275" s="368" t="s">
        <v>1301</v>
      </c>
      <c r="E275" s="367" t="s">
        <v>1284</v>
      </c>
      <c r="F275" s="368"/>
      <c r="H275" s="368"/>
      <c r="I275" s="368"/>
      <c r="J275" s="368"/>
      <c r="L275" s="368"/>
      <c r="M275" s="368"/>
      <c r="N275" s="369"/>
      <c r="O275" s="368"/>
    </row>
    <row r="276" spans="1:15" s="372" customFormat="1" ht="147" x14ac:dyDescent="0.5">
      <c r="A276" s="387">
        <v>41</v>
      </c>
      <c r="B276" s="388" t="s">
        <v>1302</v>
      </c>
      <c r="C276" s="513">
        <v>8221900000</v>
      </c>
      <c r="F276" s="389" t="s">
        <v>1274</v>
      </c>
      <c r="H276" s="389"/>
      <c r="I276" s="389"/>
      <c r="J276" s="389"/>
      <c r="K276" s="390" t="s">
        <v>1303</v>
      </c>
      <c r="L276" s="389"/>
      <c r="M276" s="389"/>
      <c r="N276" s="390"/>
      <c r="O276" s="389"/>
    </row>
    <row r="277" spans="1:15" s="372" customFormat="1" ht="147" x14ac:dyDescent="0.5">
      <c r="A277" s="387">
        <v>43</v>
      </c>
      <c r="B277" s="388" t="s">
        <v>1304</v>
      </c>
      <c r="C277" s="513">
        <v>9936220500</v>
      </c>
      <c r="F277" s="389"/>
      <c r="H277" s="389"/>
      <c r="I277" s="389"/>
      <c r="J277" s="389"/>
      <c r="K277" s="390" t="s">
        <v>1305</v>
      </c>
      <c r="L277" s="389"/>
      <c r="M277" s="389"/>
      <c r="N277" s="390"/>
      <c r="O277" s="389"/>
    </row>
    <row r="278" spans="1:15" s="287" customFormat="1" ht="105" x14ac:dyDescent="0.5">
      <c r="A278" s="190">
        <v>46</v>
      </c>
      <c r="B278" s="253" t="s">
        <v>1203</v>
      </c>
      <c r="C278" s="386">
        <v>899987312</v>
      </c>
      <c r="F278" s="289" t="s">
        <v>1204</v>
      </c>
      <c r="H278" s="289"/>
      <c r="I278" s="289"/>
      <c r="J278" s="289"/>
      <c r="K278" s="244" t="s">
        <v>1306</v>
      </c>
      <c r="L278" s="289"/>
      <c r="M278" s="289"/>
      <c r="N278" s="244"/>
      <c r="O278" s="289"/>
    </row>
    <row r="279" spans="1:15" s="287" customFormat="1" ht="126" x14ac:dyDescent="0.5">
      <c r="A279" s="190">
        <v>48</v>
      </c>
      <c r="B279" s="253" t="s">
        <v>1307</v>
      </c>
      <c r="C279" s="386">
        <v>742329430</v>
      </c>
      <c r="F279" s="289" t="s">
        <v>271</v>
      </c>
      <c r="H279" s="289"/>
      <c r="I279" s="289"/>
      <c r="J279" s="289"/>
      <c r="K279" s="244" t="s">
        <v>1308</v>
      </c>
      <c r="L279" s="289"/>
      <c r="M279" s="289"/>
      <c r="N279" s="244"/>
      <c r="O279" s="289"/>
    </row>
    <row r="280" spans="1:15" s="287" customFormat="1" ht="84" x14ac:dyDescent="0.5">
      <c r="A280" s="190">
        <v>52</v>
      </c>
      <c r="B280" s="253" t="s">
        <v>1309</v>
      </c>
      <c r="C280" s="386">
        <v>1568027310</v>
      </c>
      <c r="F280" s="289" t="s">
        <v>1310</v>
      </c>
      <c r="H280" s="289"/>
      <c r="I280" s="289"/>
      <c r="J280" s="289"/>
      <c r="K280" s="244" t="s">
        <v>1311</v>
      </c>
      <c r="L280" s="289"/>
      <c r="M280" s="289"/>
      <c r="N280" s="244"/>
      <c r="O280" s="289"/>
    </row>
    <row r="281" spans="1:15" s="341" customFormat="1" ht="336" x14ac:dyDescent="0.5">
      <c r="A281" s="60">
        <v>24</v>
      </c>
      <c r="B281" s="255" t="s">
        <v>1312</v>
      </c>
      <c r="C281" s="378">
        <v>188511200</v>
      </c>
      <c r="F281" s="294" t="s">
        <v>1142</v>
      </c>
      <c r="H281" s="294"/>
      <c r="I281" s="97" t="s">
        <v>1247</v>
      </c>
      <c r="J281" s="294"/>
      <c r="K281" s="97" t="s">
        <v>1313</v>
      </c>
      <c r="L281" s="294"/>
      <c r="M281" s="294"/>
      <c r="N281" s="97"/>
      <c r="O281" s="294"/>
    </row>
    <row r="282" spans="1:15" s="341" customFormat="1" ht="63" x14ac:dyDescent="0.5">
      <c r="A282" s="60">
        <v>27</v>
      </c>
      <c r="B282" s="255" t="s">
        <v>1314</v>
      </c>
      <c r="C282" s="378">
        <v>2347495545</v>
      </c>
      <c r="F282" s="294" t="s">
        <v>111</v>
      </c>
      <c r="H282" s="294"/>
      <c r="I282" s="294"/>
      <c r="J282" s="294"/>
      <c r="K282" s="97" t="s">
        <v>1315</v>
      </c>
      <c r="L282" s="294"/>
      <c r="M282" s="294"/>
      <c r="N282" s="97"/>
      <c r="O282" s="294"/>
    </row>
    <row r="283" spans="1:15" s="341" customFormat="1" ht="84" x14ac:dyDescent="0.5">
      <c r="A283" s="60">
        <v>30</v>
      </c>
      <c r="B283" s="255" t="s">
        <v>1316</v>
      </c>
      <c r="F283" s="294" t="s">
        <v>1142</v>
      </c>
      <c r="H283" s="294"/>
      <c r="I283" s="294"/>
      <c r="J283" s="294"/>
      <c r="K283" s="97" t="s">
        <v>1317</v>
      </c>
      <c r="L283" s="294"/>
      <c r="M283" s="294"/>
      <c r="N283" s="97"/>
      <c r="O283" s="294"/>
    </row>
    <row r="284" spans="1:15" s="341" customFormat="1" ht="210" x14ac:dyDescent="0.5">
      <c r="A284" s="60">
        <v>33</v>
      </c>
      <c r="B284" s="255" t="s">
        <v>1318</v>
      </c>
      <c r="C284" s="378">
        <v>1530336855</v>
      </c>
      <c r="F284" s="294" t="s">
        <v>1319</v>
      </c>
      <c r="H284" s="294"/>
      <c r="I284" s="294"/>
      <c r="J284" s="294"/>
      <c r="K284" s="97" t="s">
        <v>1320</v>
      </c>
      <c r="L284" s="294"/>
      <c r="M284" s="294"/>
      <c r="N284" s="97"/>
      <c r="O284" s="294"/>
    </row>
    <row r="285" spans="1:15" s="341" customFormat="1" ht="84" x14ac:dyDescent="0.5">
      <c r="A285" s="60">
        <v>34</v>
      </c>
      <c r="B285" s="255" t="s">
        <v>1321</v>
      </c>
      <c r="C285" s="378">
        <v>224493100</v>
      </c>
      <c r="F285" s="294" t="s">
        <v>1277</v>
      </c>
      <c r="H285" s="294"/>
      <c r="I285" s="294"/>
      <c r="J285" s="294"/>
      <c r="K285" s="97" t="s">
        <v>1322</v>
      </c>
      <c r="L285" s="294"/>
      <c r="M285" s="294"/>
      <c r="N285" s="97"/>
      <c r="O285" s="294"/>
    </row>
    <row r="286" spans="1:15" s="341" customFormat="1" ht="147" x14ac:dyDescent="0.5">
      <c r="A286" s="60">
        <v>36</v>
      </c>
      <c r="B286" s="255" t="s">
        <v>1323</v>
      </c>
      <c r="C286" s="378">
        <v>1305633735</v>
      </c>
      <c r="F286" s="294" t="s">
        <v>271</v>
      </c>
      <c r="H286" s="294"/>
      <c r="I286" s="294"/>
      <c r="J286" s="294"/>
      <c r="K286" s="97" t="s">
        <v>1324</v>
      </c>
      <c r="L286" s="294"/>
      <c r="M286" s="294"/>
      <c r="N286" s="97"/>
      <c r="O286" s="294"/>
    </row>
    <row r="287" spans="1:15" s="341" customFormat="1" ht="105" x14ac:dyDescent="0.5">
      <c r="A287" s="60">
        <v>37</v>
      </c>
      <c r="B287" s="255" t="s">
        <v>1325</v>
      </c>
      <c r="C287" s="378">
        <v>282652500</v>
      </c>
      <c r="F287" s="294" t="s">
        <v>1326</v>
      </c>
      <c r="H287" s="294"/>
      <c r="I287" s="294"/>
      <c r="J287" s="294"/>
      <c r="K287" s="97" t="s">
        <v>1327</v>
      </c>
      <c r="L287" s="294"/>
      <c r="M287" s="294"/>
      <c r="N287" s="97"/>
      <c r="O287" s="294"/>
    </row>
    <row r="288" spans="1:15" s="341" customFormat="1" ht="84" x14ac:dyDescent="0.5">
      <c r="A288" s="60">
        <v>38</v>
      </c>
      <c r="B288" s="255" t="s">
        <v>1328</v>
      </c>
      <c r="C288" s="378">
        <v>2427276000</v>
      </c>
      <c r="F288" s="294" t="s">
        <v>1329</v>
      </c>
      <c r="H288" s="294"/>
      <c r="I288" s="294"/>
      <c r="J288" s="294"/>
      <c r="K288" s="97" t="s">
        <v>1330</v>
      </c>
      <c r="L288" s="294"/>
      <c r="M288" s="294"/>
      <c r="N288" s="97"/>
      <c r="O288" s="294"/>
    </row>
    <row r="289" spans="1:15" s="341" customFormat="1" ht="126" x14ac:dyDescent="0.5">
      <c r="A289" s="60">
        <v>39</v>
      </c>
      <c r="B289" s="255" t="s">
        <v>1331</v>
      </c>
      <c r="C289" s="378">
        <v>462321680</v>
      </c>
      <c r="F289" s="294" t="s">
        <v>271</v>
      </c>
      <c r="H289" s="294"/>
      <c r="I289" s="294"/>
      <c r="J289" s="294"/>
      <c r="K289" s="97" t="s">
        <v>1332</v>
      </c>
      <c r="L289" s="294"/>
      <c r="M289" s="294"/>
      <c r="N289" s="97"/>
      <c r="O289" s="294"/>
    </row>
    <row r="290" spans="1:15" s="341" customFormat="1" ht="84" x14ac:dyDescent="0.5">
      <c r="A290" s="60">
        <v>42</v>
      </c>
      <c r="B290" s="255" t="s">
        <v>1333</v>
      </c>
      <c r="F290" s="294" t="s">
        <v>164</v>
      </c>
      <c r="H290" s="294"/>
      <c r="I290" s="294"/>
      <c r="J290" s="294"/>
      <c r="K290" s="97" t="s">
        <v>1334</v>
      </c>
      <c r="L290" s="294"/>
      <c r="M290" s="294"/>
      <c r="N290" s="97"/>
      <c r="O290" s="294"/>
    </row>
    <row r="291" spans="1:15" s="341" customFormat="1" ht="63" x14ac:dyDescent="0.5">
      <c r="A291" s="60">
        <v>30</v>
      </c>
      <c r="B291" s="255" t="s">
        <v>122</v>
      </c>
      <c r="C291" s="443">
        <v>147385728</v>
      </c>
      <c r="F291" s="294" t="s">
        <v>164</v>
      </c>
      <c r="H291" s="294"/>
      <c r="I291" s="294"/>
      <c r="J291" s="294"/>
      <c r="K291" s="97" t="s">
        <v>1335</v>
      </c>
      <c r="L291" s="294"/>
      <c r="M291" s="294"/>
      <c r="N291" s="97"/>
      <c r="O291" s="294"/>
    </row>
    <row r="292" spans="1:15" s="287" customFormat="1" ht="84" x14ac:dyDescent="0.5">
      <c r="A292" s="190">
        <v>34</v>
      </c>
      <c r="B292" s="253" t="s">
        <v>1336</v>
      </c>
      <c r="F292" s="289"/>
      <c r="H292" s="289"/>
      <c r="I292" s="289"/>
      <c r="J292" s="289"/>
      <c r="K292" s="244" t="s">
        <v>1337</v>
      </c>
      <c r="L292" s="289"/>
      <c r="M292" s="289"/>
      <c r="N292" s="244"/>
      <c r="O292" s="289"/>
    </row>
    <row r="293" spans="1:15" s="367" customFormat="1" ht="63" x14ac:dyDescent="0.5">
      <c r="A293" s="363">
        <v>3</v>
      </c>
      <c r="B293" s="364" t="s">
        <v>1300</v>
      </c>
      <c r="C293" s="365">
        <v>8196840000</v>
      </c>
      <c r="F293" s="368"/>
      <c r="H293" s="368"/>
      <c r="I293" s="368"/>
      <c r="J293" s="368"/>
      <c r="K293" s="363" t="s">
        <v>1338</v>
      </c>
      <c r="L293" s="368"/>
      <c r="M293" s="368"/>
      <c r="N293" s="369"/>
      <c r="O293" s="368"/>
    </row>
    <row r="294" spans="1:15" s="341" customFormat="1" ht="42" x14ac:dyDescent="0.5">
      <c r="A294" s="60">
        <v>6</v>
      </c>
      <c r="B294" s="255" t="s">
        <v>1314</v>
      </c>
      <c r="C294" s="378">
        <v>2347495545</v>
      </c>
      <c r="F294" s="294" t="s">
        <v>111</v>
      </c>
      <c r="H294" s="294"/>
      <c r="I294" s="294"/>
      <c r="J294" s="294"/>
      <c r="K294" s="97"/>
      <c r="L294" s="294"/>
      <c r="M294" s="294"/>
      <c r="N294" s="97"/>
      <c r="O294" s="294"/>
    </row>
    <row r="295" spans="1:15" s="341" customFormat="1" ht="42" x14ac:dyDescent="0.5">
      <c r="A295" s="60">
        <v>27</v>
      </c>
      <c r="B295" s="255" t="s">
        <v>1339</v>
      </c>
      <c r="F295" s="294" t="s">
        <v>914</v>
      </c>
      <c r="H295" s="294"/>
      <c r="I295" s="294"/>
      <c r="J295" s="294"/>
      <c r="K295" s="97" t="s">
        <v>1340</v>
      </c>
      <c r="L295" s="294"/>
      <c r="M295" s="294"/>
      <c r="N295" s="97"/>
      <c r="O295" s="294"/>
    </row>
    <row r="296" spans="1:15" s="341" customFormat="1" ht="63" x14ac:dyDescent="0.5">
      <c r="A296" s="60">
        <v>31</v>
      </c>
      <c r="B296" s="255" t="s">
        <v>1341</v>
      </c>
      <c r="C296" s="362">
        <f>533902300+282800</f>
        <v>534185100</v>
      </c>
      <c r="F296" s="294" t="s">
        <v>1342</v>
      </c>
      <c r="H296" s="294" t="s">
        <v>1343</v>
      </c>
      <c r="I296" s="294"/>
      <c r="J296" s="294"/>
      <c r="K296" s="97" t="s">
        <v>1344</v>
      </c>
      <c r="L296" s="294"/>
      <c r="M296" s="294"/>
      <c r="N296" s="97"/>
      <c r="O296" s="294"/>
    </row>
    <row r="297" spans="1:15" s="367" customFormat="1" ht="63" x14ac:dyDescent="0.5">
      <c r="A297" s="60">
        <v>33</v>
      </c>
      <c r="B297" s="364" t="s">
        <v>1345</v>
      </c>
      <c r="C297" s="365">
        <v>360000000</v>
      </c>
      <c r="F297" s="368" t="s">
        <v>84</v>
      </c>
      <c r="H297" s="368"/>
      <c r="I297" s="368"/>
      <c r="J297" s="368"/>
      <c r="K297" s="369" t="s">
        <v>1346</v>
      </c>
      <c r="L297" s="368"/>
      <c r="M297" s="368"/>
      <c r="N297" s="369"/>
      <c r="O297" s="368"/>
    </row>
    <row r="298" spans="1:15" s="287" customFormat="1" ht="126" x14ac:dyDescent="0.5">
      <c r="A298" s="190">
        <v>36</v>
      </c>
      <c r="B298" s="253" t="s">
        <v>1347</v>
      </c>
      <c r="C298" s="379">
        <v>1600000000</v>
      </c>
      <c r="F298" s="289"/>
      <c r="H298" s="289"/>
      <c r="I298" s="289"/>
      <c r="J298" s="289"/>
      <c r="K298" s="244" t="s">
        <v>1348</v>
      </c>
      <c r="L298" s="289"/>
      <c r="M298" s="289"/>
      <c r="N298" s="244"/>
      <c r="O298" s="289"/>
    </row>
    <row r="299" spans="1:15" s="372" customFormat="1" ht="42" x14ac:dyDescent="0.5">
      <c r="A299" s="387">
        <v>9</v>
      </c>
      <c r="B299" s="388" t="s">
        <v>1349</v>
      </c>
      <c r="F299" s="389"/>
      <c r="H299" s="389"/>
      <c r="I299" s="389"/>
      <c r="J299" s="389"/>
      <c r="K299" s="390" t="s">
        <v>1350</v>
      </c>
      <c r="L299" s="389"/>
      <c r="M299" s="389"/>
      <c r="N299" s="390"/>
      <c r="O299" s="389"/>
    </row>
    <row r="300" spans="1:15" s="372" customFormat="1" ht="21" x14ac:dyDescent="0.5">
      <c r="A300" s="387">
        <v>10</v>
      </c>
      <c r="B300" s="388" t="s">
        <v>1351</v>
      </c>
      <c r="F300" s="389"/>
      <c r="H300" s="389"/>
      <c r="I300" s="389"/>
      <c r="J300" s="389"/>
      <c r="K300" s="390" t="s">
        <v>1350</v>
      </c>
      <c r="L300" s="389"/>
      <c r="M300" s="389"/>
      <c r="N300" s="390"/>
      <c r="O300" s="389"/>
    </row>
    <row r="301" spans="1:15" s="372" customFormat="1" ht="42" x14ac:dyDescent="0.5">
      <c r="A301" s="387">
        <v>11</v>
      </c>
      <c r="B301" s="388" t="s">
        <v>1352</v>
      </c>
      <c r="F301" s="389"/>
      <c r="H301" s="389"/>
      <c r="I301" s="389"/>
      <c r="J301" s="389"/>
      <c r="K301" s="390" t="s">
        <v>1350</v>
      </c>
      <c r="L301" s="389"/>
      <c r="M301" s="389"/>
      <c r="N301" s="390"/>
      <c r="O301" s="389"/>
    </row>
    <row r="302" spans="1:15" s="367" customFormat="1" ht="126" x14ac:dyDescent="0.5">
      <c r="A302" s="363">
        <v>2</v>
      </c>
      <c r="B302" s="364" t="s">
        <v>1347</v>
      </c>
      <c r="C302" s="365">
        <v>1600000000</v>
      </c>
      <c r="F302" s="368" t="s">
        <v>84</v>
      </c>
      <c r="H302" s="368"/>
      <c r="I302" s="368"/>
      <c r="J302" s="368"/>
      <c r="K302" s="369" t="s">
        <v>1353</v>
      </c>
      <c r="L302" s="368"/>
      <c r="M302" s="368"/>
      <c r="N302" s="369"/>
      <c r="O302" s="368"/>
    </row>
    <row r="303" spans="1:15" s="367" customFormat="1" ht="42" x14ac:dyDescent="0.5">
      <c r="A303" s="363">
        <v>8</v>
      </c>
      <c r="B303" s="364" t="s">
        <v>1354</v>
      </c>
      <c r="F303" s="410" t="s">
        <v>1355</v>
      </c>
      <c r="H303" s="368"/>
      <c r="I303" s="368"/>
      <c r="J303" s="368"/>
      <c r="K303" s="369" t="s">
        <v>1356</v>
      </c>
      <c r="L303" s="368"/>
      <c r="M303" s="368"/>
      <c r="N303" s="369"/>
      <c r="O303" s="368"/>
    </row>
    <row r="304" spans="1:15" s="287" customFormat="1" ht="63" x14ac:dyDescent="0.5">
      <c r="A304" s="190">
        <v>21</v>
      </c>
      <c r="B304" s="253" t="s">
        <v>1357</v>
      </c>
      <c r="F304" s="289" t="s">
        <v>1358</v>
      </c>
      <c r="H304" s="289"/>
      <c r="I304" s="289"/>
      <c r="J304" s="289"/>
      <c r="K304" s="244" t="s">
        <v>1359</v>
      </c>
      <c r="L304" s="289"/>
      <c r="M304" s="289"/>
      <c r="N304" s="244"/>
      <c r="O304" s="289"/>
    </row>
    <row r="305" spans="1:16" s="367" customFormat="1" ht="126" x14ac:dyDescent="0.5">
      <c r="A305" s="363">
        <v>2</v>
      </c>
      <c r="B305" s="364" t="s">
        <v>1360</v>
      </c>
      <c r="C305" s="365">
        <v>2383339800</v>
      </c>
      <c r="D305" s="490" t="s">
        <v>1361</v>
      </c>
      <c r="F305" s="368" t="s">
        <v>84</v>
      </c>
      <c r="H305" s="368"/>
      <c r="I305" s="368"/>
      <c r="J305" s="368"/>
      <c r="K305" s="369" t="s">
        <v>1362</v>
      </c>
      <c r="L305" s="368"/>
      <c r="M305" s="368"/>
      <c r="N305" s="369"/>
      <c r="O305" s="368"/>
      <c r="P305" s="374"/>
    </row>
    <row r="306" spans="1:16" s="341" customFormat="1" ht="126" x14ac:dyDescent="0.5">
      <c r="A306" s="60">
        <v>8</v>
      </c>
      <c r="B306" s="255" t="s">
        <v>1360</v>
      </c>
      <c r="F306" s="294" t="s">
        <v>1363</v>
      </c>
      <c r="H306" s="294"/>
      <c r="I306" s="294"/>
      <c r="J306" s="294"/>
      <c r="K306" s="97" t="s">
        <v>1362</v>
      </c>
      <c r="L306" s="294"/>
      <c r="M306" s="294"/>
      <c r="N306" s="97"/>
      <c r="O306" s="294"/>
      <c r="P306" s="373"/>
    </row>
    <row r="307" spans="1:16" s="341" customFormat="1" ht="105" x14ac:dyDescent="0.5">
      <c r="A307" s="60">
        <v>11</v>
      </c>
      <c r="B307" s="255" t="s">
        <v>1364</v>
      </c>
      <c r="F307" s="294" t="s">
        <v>1365</v>
      </c>
      <c r="H307" s="294"/>
      <c r="I307" s="294"/>
      <c r="J307" s="294"/>
      <c r="K307" s="97" t="s">
        <v>1366</v>
      </c>
      <c r="L307" s="294"/>
      <c r="M307" s="294"/>
      <c r="N307" s="97"/>
      <c r="O307" s="294"/>
      <c r="P307" s="373"/>
    </row>
    <row r="308" spans="1:16" s="367" customFormat="1" ht="84" x14ac:dyDescent="0.5">
      <c r="A308" s="60">
        <v>12</v>
      </c>
      <c r="B308" s="364" t="s">
        <v>1367</v>
      </c>
      <c r="C308" s="365">
        <v>1860002868</v>
      </c>
      <c r="F308" s="368" t="s">
        <v>113</v>
      </c>
      <c r="H308" s="368"/>
      <c r="I308" s="368"/>
      <c r="J308" s="368"/>
      <c r="K308" s="369" t="s">
        <v>1368</v>
      </c>
      <c r="L308" s="368"/>
      <c r="M308" s="368"/>
      <c r="N308" s="369"/>
      <c r="O308" s="368"/>
      <c r="P308" s="374"/>
    </row>
    <row r="309" spans="1:16" s="287" customFormat="1" ht="126" x14ac:dyDescent="0.5">
      <c r="A309" s="60">
        <v>17</v>
      </c>
      <c r="B309" s="255" t="s">
        <v>1369</v>
      </c>
      <c r="C309" s="378">
        <v>783511000</v>
      </c>
      <c r="D309" s="341"/>
      <c r="E309" s="341"/>
      <c r="F309" s="294" t="s">
        <v>969</v>
      </c>
      <c r="G309" s="341"/>
      <c r="H309" s="294"/>
      <c r="I309" s="294"/>
      <c r="J309" s="294"/>
      <c r="K309" s="97" t="s">
        <v>1370</v>
      </c>
      <c r="L309" s="294"/>
      <c r="M309" s="294"/>
      <c r="N309" s="97"/>
      <c r="O309" s="294"/>
    </row>
    <row r="310" spans="1:16" s="287" customFormat="1" ht="126" x14ac:dyDescent="0.5">
      <c r="A310" s="60">
        <v>5</v>
      </c>
      <c r="B310" s="255" t="s">
        <v>1371</v>
      </c>
      <c r="C310" s="362">
        <v>2060883500</v>
      </c>
      <c r="D310" s="515"/>
      <c r="E310" s="341"/>
      <c r="F310" s="294" t="s">
        <v>1372</v>
      </c>
      <c r="G310" s="341"/>
      <c r="H310" s="294"/>
      <c r="I310" s="294"/>
      <c r="J310" s="294"/>
      <c r="K310" s="97" t="s">
        <v>1373</v>
      </c>
      <c r="L310" s="294"/>
      <c r="M310" s="294"/>
      <c r="N310" s="97"/>
      <c r="O310" s="294"/>
    </row>
    <row r="311" spans="1:16" s="287" customFormat="1" ht="84" x14ac:dyDescent="0.5">
      <c r="A311" s="60">
        <v>11</v>
      </c>
      <c r="B311" s="255" t="s">
        <v>1374</v>
      </c>
      <c r="C311" s="378">
        <v>14886000</v>
      </c>
      <c r="D311" s="341"/>
      <c r="E311" s="341"/>
      <c r="F311" s="294" t="s">
        <v>1375</v>
      </c>
      <c r="G311" s="341"/>
      <c r="H311" s="294"/>
      <c r="I311" s="294"/>
      <c r="J311" s="294"/>
      <c r="K311" s="97" t="s">
        <v>1376</v>
      </c>
      <c r="L311" s="294"/>
      <c r="M311" s="294"/>
      <c r="N311" s="97"/>
      <c r="O311" s="294"/>
    </row>
    <row r="312" spans="1:16" s="287" customFormat="1" ht="84" x14ac:dyDescent="0.5">
      <c r="A312" s="60">
        <v>12</v>
      </c>
      <c r="B312" s="255" t="s">
        <v>1377</v>
      </c>
      <c r="C312" s="378">
        <v>14886000</v>
      </c>
      <c r="D312" s="341"/>
      <c r="E312" s="341"/>
      <c r="F312" s="294" t="s">
        <v>1378</v>
      </c>
      <c r="G312" s="341"/>
      <c r="H312" s="294"/>
      <c r="I312" s="294"/>
      <c r="J312" s="294"/>
      <c r="K312" s="97" t="s">
        <v>1379</v>
      </c>
      <c r="L312" s="294"/>
      <c r="M312" s="294"/>
      <c r="N312" s="97"/>
      <c r="O312" s="294"/>
    </row>
    <row r="313" spans="1:16" s="287" customFormat="1" ht="63" x14ac:dyDescent="0.5">
      <c r="A313" s="60">
        <v>14</v>
      </c>
      <c r="B313" s="255" t="s">
        <v>1380</v>
      </c>
      <c r="C313" s="443">
        <v>254500060</v>
      </c>
      <c r="D313" s="341"/>
      <c r="E313" s="341"/>
      <c r="F313" s="294" t="s">
        <v>1381</v>
      </c>
      <c r="G313" s="341"/>
      <c r="H313" s="294"/>
      <c r="I313" s="294"/>
      <c r="J313" s="294"/>
      <c r="K313" s="97" t="s">
        <v>1382</v>
      </c>
      <c r="L313" s="294"/>
      <c r="M313" s="294"/>
      <c r="N313" s="97"/>
      <c r="O313" s="294"/>
    </row>
    <row r="314" spans="1:16" s="287" customFormat="1" ht="84" x14ac:dyDescent="0.5">
      <c r="A314" s="60">
        <v>16</v>
      </c>
      <c r="B314" s="255" t="s">
        <v>1383</v>
      </c>
      <c r="C314" s="341"/>
      <c r="D314" s="341"/>
      <c r="E314" s="341"/>
      <c r="F314" s="294" t="s">
        <v>914</v>
      </c>
      <c r="G314" s="341"/>
      <c r="H314" s="294"/>
      <c r="I314" s="294"/>
      <c r="J314" s="294"/>
      <c r="K314" s="97" t="s">
        <v>1384</v>
      </c>
      <c r="L314" s="294"/>
      <c r="M314" s="294"/>
      <c r="N314" s="97"/>
      <c r="O314" s="294"/>
    </row>
    <row r="315" spans="1:16" s="287" customFormat="1" ht="105" x14ac:dyDescent="0.5">
      <c r="A315" s="60">
        <v>27</v>
      </c>
      <c r="B315" s="255" t="s">
        <v>1385</v>
      </c>
      <c r="C315" s="362">
        <f>D315*3%</f>
        <v>178772223</v>
      </c>
      <c r="D315" s="362">
        <v>5959074100</v>
      </c>
      <c r="E315" s="341"/>
      <c r="F315" s="294" t="s">
        <v>1386</v>
      </c>
      <c r="G315" s="341"/>
      <c r="H315" s="294"/>
      <c r="I315" s="294"/>
      <c r="J315" s="294"/>
      <c r="K315" s="97" t="s">
        <v>1387</v>
      </c>
      <c r="L315" s="294"/>
      <c r="M315" s="294"/>
      <c r="N315" s="97"/>
      <c r="O315" s="294"/>
    </row>
    <row r="316" spans="1:16" s="287" customFormat="1" ht="63" x14ac:dyDescent="0.5">
      <c r="A316" s="60">
        <v>41</v>
      </c>
      <c r="B316" s="255" t="s">
        <v>1388</v>
      </c>
      <c r="C316" s="362">
        <f>D316*3%</f>
        <v>107536908.92999999</v>
      </c>
      <c r="D316" s="362">
        <v>3584563631</v>
      </c>
      <c r="E316" s="341"/>
      <c r="F316" s="294" t="s">
        <v>1389</v>
      </c>
      <c r="G316" s="341"/>
      <c r="H316" s="294"/>
      <c r="I316" s="294"/>
      <c r="J316" s="294"/>
      <c r="K316" s="97" t="s">
        <v>1390</v>
      </c>
      <c r="L316" s="294"/>
      <c r="M316" s="294"/>
      <c r="N316" s="97"/>
      <c r="O316" s="294"/>
    </row>
    <row r="317" spans="1:16" s="287" customFormat="1" ht="126" x14ac:dyDescent="0.5">
      <c r="A317" s="60">
        <v>42</v>
      </c>
      <c r="B317" s="255" t="s">
        <v>1391</v>
      </c>
      <c r="C317" s="362">
        <f>D317*3%</f>
        <v>34227150</v>
      </c>
      <c r="D317" s="362">
        <v>1140905000</v>
      </c>
      <c r="E317" s="341"/>
      <c r="F317" s="294" t="s">
        <v>1389</v>
      </c>
      <c r="G317" s="341"/>
      <c r="H317" s="294"/>
      <c r="I317" s="294"/>
      <c r="J317" s="294"/>
      <c r="K317" s="97" t="s">
        <v>1392</v>
      </c>
      <c r="L317" s="294"/>
      <c r="M317" s="294"/>
      <c r="N317" s="97"/>
      <c r="O317" s="294"/>
    </row>
    <row r="318" spans="1:16" s="341" customFormat="1" ht="210" x14ac:dyDescent="0.5">
      <c r="A318" s="60">
        <v>30</v>
      </c>
      <c r="B318" s="255" t="s">
        <v>1393</v>
      </c>
      <c r="C318" s="378">
        <v>952549600</v>
      </c>
      <c r="F318" s="294" t="s">
        <v>1394</v>
      </c>
      <c r="H318" s="294"/>
      <c r="I318" s="294"/>
      <c r="J318" s="294"/>
      <c r="K318" s="514" t="s">
        <v>1395</v>
      </c>
      <c r="L318" s="294"/>
      <c r="M318" s="294"/>
      <c r="N318" s="97"/>
      <c r="O318" s="294"/>
      <c r="P318" s="373"/>
    </row>
    <row r="319" spans="1:16" s="287" customFormat="1" ht="210" x14ac:dyDescent="0.5">
      <c r="A319" s="60">
        <v>36</v>
      </c>
      <c r="B319" s="255" t="s">
        <v>1396</v>
      </c>
      <c r="C319" s="415">
        <v>1189961080</v>
      </c>
      <c r="D319" s="362"/>
      <c r="E319" s="341"/>
      <c r="F319" s="61" t="s">
        <v>1397</v>
      </c>
      <c r="G319" s="341"/>
      <c r="H319" s="294"/>
      <c r="I319" s="294"/>
      <c r="J319" s="294"/>
      <c r="K319" s="97" t="s">
        <v>1398</v>
      </c>
      <c r="L319" s="294"/>
      <c r="M319" s="294"/>
      <c r="N319" s="97"/>
      <c r="O319" s="294"/>
    </row>
    <row r="320" spans="1:16" s="287" customFormat="1" ht="126" x14ac:dyDescent="0.5">
      <c r="A320" s="60">
        <v>38</v>
      </c>
      <c r="B320" s="255" t="s">
        <v>1399</v>
      </c>
      <c r="C320" s="517">
        <f>D320*3%</f>
        <v>12350910</v>
      </c>
      <c r="D320" s="362">
        <v>411697000</v>
      </c>
      <c r="E320" s="341"/>
      <c r="F320" s="294" t="s">
        <v>1400</v>
      </c>
      <c r="G320" s="341"/>
      <c r="H320" s="294"/>
      <c r="I320" s="294"/>
      <c r="J320" s="294"/>
      <c r="K320" s="97" t="s">
        <v>1401</v>
      </c>
      <c r="L320" s="294"/>
      <c r="M320" s="294"/>
      <c r="N320" s="97"/>
      <c r="O320" s="294"/>
    </row>
    <row r="321" spans="1:15" s="341" customFormat="1" ht="126" x14ac:dyDescent="0.5">
      <c r="A321" s="60">
        <v>45</v>
      </c>
      <c r="B321" s="255" t="s">
        <v>1402</v>
      </c>
      <c r="C321" s="522">
        <v>51883500</v>
      </c>
      <c r="F321" s="294" t="s">
        <v>123</v>
      </c>
      <c r="H321" s="294"/>
      <c r="I321" s="294"/>
      <c r="J321" s="294"/>
      <c r="K321" s="97" t="s">
        <v>1403</v>
      </c>
      <c r="L321" s="294"/>
      <c r="M321" s="294"/>
      <c r="N321" s="97"/>
      <c r="O321" s="294"/>
    </row>
    <row r="322" spans="1:15" s="341" customFormat="1" ht="63" x14ac:dyDescent="0.5">
      <c r="A322" s="60">
        <v>43</v>
      </c>
      <c r="B322" s="255" t="s">
        <v>1404</v>
      </c>
      <c r="C322" s="378">
        <v>56313000</v>
      </c>
      <c r="F322" s="294" t="s">
        <v>1405</v>
      </c>
      <c r="H322" s="294"/>
      <c r="I322" s="294"/>
      <c r="J322" s="294"/>
      <c r="K322" s="97" t="s">
        <v>1406</v>
      </c>
      <c r="L322" s="294"/>
      <c r="M322" s="294"/>
      <c r="N322" s="97"/>
      <c r="O322" s="294"/>
    </row>
    <row r="323" spans="1:15" s="341" customFormat="1" ht="63" x14ac:dyDescent="0.5">
      <c r="A323" s="60">
        <v>44</v>
      </c>
      <c r="B323" s="255" t="s">
        <v>1407</v>
      </c>
      <c r="C323" s="378">
        <v>56313000</v>
      </c>
      <c r="F323" s="294" t="s">
        <v>1405</v>
      </c>
      <c r="H323" s="294"/>
      <c r="I323" s="294"/>
      <c r="J323" s="294"/>
      <c r="K323" s="97" t="s">
        <v>1406</v>
      </c>
      <c r="L323" s="294"/>
      <c r="M323" s="294"/>
      <c r="N323" s="97"/>
      <c r="O323" s="294"/>
    </row>
    <row r="324" spans="1:15" s="341" customFormat="1" ht="126" x14ac:dyDescent="0.5">
      <c r="A324" s="60">
        <v>45</v>
      </c>
      <c r="B324" s="255" t="s">
        <v>1408</v>
      </c>
      <c r="C324" s="362">
        <v>35064000</v>
      </c>
      <c r="F324" s="294" t="s">
        <v>1409</v>
      </c>
      <c r="H324" s="294"/>
      <c r="I324" s="294"/>
      <c r="J324" s="294"/>
      <c r="K324" s="97" t="s">
        <v>1410</v>
      </c>
      <c r="L324" s="294"/>
      <c r="M324" s="294"/>
      <c r="N324" s="97"/>
      <c r="O324" s="294"/>
    </row>
    <row r="325" spans="1:15" s="372" customFormat="1" ht="63" x14ac:dyDescent="0.5">
      <c r="A325" s="60">
        <v>50</v>
      </c>
      <c r="B325" s="388" t="s">
        <v>1411</v>
      </c>
      <c r="F325" s="389" t="s">
        <v>113</v>
      </c>
      <c r="H325" s="389"/>
      <c r="I325" s="389"/>
      <c r="J325" s="389"/>
      <c r="K325" s="390" t="s">
        <v>1412</v>
      </c>
      <c r="L325" s="389"/>
      <c r="M325" s="389"/>
      <c r="N325" s="390"/>
      <c r="O325" s="389"/>
    </row>
    <row r="326" spans="1:15" s="287" customFormat="1" ht="63" x14ac:dyDescent="0.5">
      <c r="A326" s="60">
        <v>58</v>
      </c>
      <c r="B326" s="253" t="s">
        <v>1413</v>
      </c>
      <c r="F326" s="289" t="s">
        <v>1414</v>
      </c>
      <c r="H326" s="289"/>
      <c r="I326" s="289"/>
      <c r="J326" s="289"/>
      <c r="K326" s="244" t="s">
        <v>1415</v>
      </c>
      <c r="L326" s="289"/>
      <c r="M326" s="289"/>
      <c r="N326" s="244"/>
      <c r="O326" s="289"/>
    </row>
    <row r="327" spans="1:15" s="287" customFormat="1" ht="105" x14ac:dyDescent="0.5">
      <c r="A327" s="60">
        <v>54</v>
      </c>
      <c r="B327" s="253" t="s">
        <v>1416</v>
      </c>
      <c r="F327" s="289" t="s">
        <v>1414</v>
      </c>
      <c r="H327" s="289"/>
      <c r="I327" s="289"/>
      <c r="J327" s="289"/>
      <c r="K327" s="244" t="s">
        <v>1417</v>
      </c>
      <c r="L327" s="289"/>
      <c r="M327" s="289"/>
      <c r="N327" s="244"/>
      <c r="O327" s="289"/>
    </row>
    <row r="328" spans="1:15" s="287" customFormat="1" ht="63" x14ac:dyDescent="0.5">
      <c r="A328" s="60">
        <v>59</v>
      </c>
      <c r="B328" s="253" t="s">
        <v>1418</v>
      </c>
      <c r="F328" s="289" t="s">
        <v>1277</v>
      </c>
      <c r="H328" s="289"/>
      <c r="I328" s="289"/>
      <c r="J328" s="289"/>
      <c r="K328" s="244" t="s">
        <v>1419</v>
      </c>
      <c r="L328" s="289"/>
      <c r="M328" s="289"/>
      <c r="N328" s="244"/>
      <c r="O328" s="289"/>
    </row>
    <row r="329" spans="1:15" s="398" customFormat="1" ht="273" x14ac:dyDescent="0.5">
      <c r="A329" s="60">
        <v>26</v>
      </c>
      <c r="B329" s="518" t="s">
        <v>1420</v>
      </c>
      <c r="C329" s="519">
        <v>537119600</v>
      </c>
      <c r="D329" s="520"/>
      <c r="E329" s="520"/>
      <c r="F329" s="521" t="s">
        <v>130</v>
      </c>
      <c r="G329" s="520"/>
      <c r="H329" s="521"/>
      <c r="I329" s="521"/>
      <c r="J329" s="521"/>
      <c r="K329" s="397" t="s">
        <v>1421</v>
      </c>
      <c r="L329" s="521"/>
      <c r="M329" s="521"/>
      <c r="N329" s="397"/>
      <c r="O329" s="521"/>
    </row>
    <row r="330" spans="1:15" s="287" customFormat="1" ht="84" x14ac:dyDescent="0.5">
      <c r="A330" s="60">
        <v>61</v>
      </c>
      <c r="B330" s="255" t="s">
        <v>1422</v>
      </c>
      <c r="C330" s="341"/>
      <c r="D330" s="341"/>
      <c r="E330" s="341"/>
      <c r="F330" s="294" t="s">
        <v>1277</v>
      </c>
      <c r="G330" s="341"/>
      <c r="H330" s="294"/>
      <c r="I330" s="294"/>
      <c r="J330" s="294"/>
      <c r="K330" s="97" t="s">
        <v>1423</v>
      </c>
      <c r="L330" s="294"/>
      <c r="M330" s="294"/>
      <c r="N330" s="97"/>
      <c r="O330" s="294"/>
    </row>
    <row r="331" spans="1:15" s="287" customFormat="1" ht="84" x14ac:dyDescent="0.5">
      <c r="A331" s="60">
        <v>59</v>
      </c>
      <c r="B331" s="255" t="s">
        <v>1424</v>
      </c>
      <c r="C331" s="378">
        <v>7437497212</v>
      </c>
      <c r="D331" s="341" t="s">
        <v>1425</v>
      </c>
      <c r="E331" s="341"/>
      <c r="F331" s="294" t="s">
        <v>1426</v>
      </c>
      <c r="G331" s="341"/>
      <c r="H331" s="294"/>
      <c r="I331" s="294"/>
      <c r="J331" s="294"/>
      <c r="K331" s="97" t="s">
        <v>1427</v>
      </c>
      <c r="L331" s="294"/>
      <c r="M331" s="294"/>
      <c r="N331" s="97"/>
      <c r="O331" s="294"/>
    </row>
    <row r="332" spans="1:15" s="341" customFormat="1" ht="210" x14ac:dyDescent="0.5">
      <c r="A332" s="60">
        <v>9</v>
      </c>
      <c r="B332" s="255" t="s">
        <v>1428</v>
      </c>
      <c r="C332" s="375">
        <v>1282500</v>
      </c>
      <c r="D332" s="60" t="s">
        <v>1429</v>
      </c>
      <c r="F332" s="61" t="s">
        <v>914</v>
      </c>
      <c r="H332" s="294"/>
      <c r="I332" s="294"/>
      <c r="J332" s="294"/>
      <c r="K332" s="97" t="s">
        <v>1430</v>
      </c>
      <c r="L332" s="294"/>
      <c r="M332" s="294"/>
      <c r="N332" s="97"/>
      <c r="O332" s="294"/>
    </row>
    <row r="333" spans="1:15" s="287" customFormat="1" ht="168" x14ac:dyDescent="0.5">
      <c r="A333" s="60">
        <v>48</v>
      </c>
      <c r="B333" s="255" t="s">
        <v>1431</v>
      </c>
      <c r="C333" s="378">
        <v>10803335970</v>
      </c>
      <c r="D333" s="341"/>
      <c r="E333" s="341"/>
      <c r="F333" s="294" t="s">
        <v>1432</v>
      </c>
      <c r="G333" s="341"/>
      <c r="H333" s="294"/>
      <c r="I333" s="294"/>
      <c r="J333" s="294"/>
      <c r="K333" s="97" t="s">
        <v>1433</v>
      </c>
      <c r="L333" s="294"/>
      <c r="M333" s="294"/>
      <c r="N333" s="97"/>
      <c r="O333" s="294"/>
    </row>
    <row r="334" spans="1:15" s="341" customFormat="1" ht="84" x14ac:dyDescent="0.5">
      <c r="A334" s="60">
        <v>44</v>
      </c>
      <c r="B334" s="255" t="s">
        <v>1434</v>
      </c>
      <c r="C334" s="516">
        <v>233470076</v>
      </c>
      <c r="F334" s="294" t="s">
        <v>1435</v>
      </c>
      <c r="H334" s="294"/>
      <c r="I334" s="294"/>
      <c r="J334" s="294"/>
      <c r="K334" s="97" t="s">
        <v>1436</v>
      </c>
      <c r="L334" s="294"/>
      <c r="M334" s="294"/>
      <c r="N334" s="97"/>
      <c r="O334" s="294"/>
    </row>
    <row r="335" spans="1:15" s="341" customFormat="1" ht="105" x14ac:dyDescent="0.5">
      <c r="A335" s="60">
        <v>45</v>
      </c>
      <c r="B335" s="255" t="s">
        <v>1437</v>
      </c>
      <c r="C335" s="362">
        <f>195102800+160041200</f>
        <v>355144000</v>
      </c>
      <c r="F335" s="294" t="s">
        <v>1438</v>
      </c>
      <c r="H335" s="294"/>
      <c r="I335" s="294"/>
      <c r="J335" s="294"/>
      <c r="K335" s="97" t="s">
        <v>1439</v>
      </c>
      <c r="L335" s="294"/>
      <c r="M335" s="294"/>
      <c r="N335" s="97"/>
      <c r="O335" s="294"/>
    </row>
    <row r="336" spans="1:15" s="287" customFormat="1" ht="147" x14ac:dyDescent="0.5">
      <c r="A336" s="60">
        <v>50</v>
      </c>
      <c r="B336" s="255" t="s">
        <v>1440</v>
      </c>
      <c r="C336" s="378">
        <v>4569600</v>
      </c>
      <c r="D336" s="341"/>
      <c r="E336" s="341"/>
      <c r="F336" s="294" t="s">
        <v>1432</v>
      </c>
      <c r="G336" s="341"/>
      <c r="H336" s="294"/>
      <c r="I336" s="294"/>
      <c r="J336" s="294"/>
      <c r="K336" s="97" t="s">
        <v>1441</v>
      </c>
      <c r="L336" s="294"/>
      <c r="M336" s="294"/>
      <c r="N336" s="97"/>
      <c r="O336" s="294"/>
    </row>
    <row r="337" spans="1:16" s="287" customFormat="1" ht="105" x14ac:dyDescent="0.5">
      <c r="A337" s="60">
        <v>37</v>
      </c>
      <c r="B337" s="255" t="s">
        <v>1442</v>
      </c>
      <c r="C337" s="362">
        <f>668364920+1350888251</f>
        <v>2019253171</v>
      </c>
      <c r="D337" s="341"/>
      <c r="E337" s="341"/>
      <c r="F337" s="294" t="s">
        <v>109</v>
      </c>
      <c r="G337" s="341"/>
      <c r="H337" s="294"/>
      <c r="I337" s="294"/>
      <c r="J337" s="294"/>
      <c r="K337" s="97" t="s">
        <v>1443</v>
      </c>
      <c r="L337" s="294"/>
      <c r="M337" s="294"/>
      <c r="N337" s="97"/>
      <c r="O337" s="294"/>
    </row>
    <row r="338" spans="1:16" s="287" customFormat="1" ht="84" x14ac:dyDescent="0.5">
      <c r="A338" s="60">
        <v>52</v>
      </c>
      <c r="B338" s="255" t="s">
        <v>1444</v>
      </c>
      <c r="C338" s="378">
        <v>260531600</v>
      </c>
      <c r="D338" s="341"/>
      <c r="E338" s="341"/>
      <c r="F338" s="294" t="s">
        <v>1445</v>
      </c>
      <c r="G338" s="341"/>
      <c r="H338" s="294"/>
      <c r="I338" s="294"/>
      <c r="J338" s="294"/>
      <c r="K338" s="97" t="s">
        <v>1446</v>
      </c>
      <c r="L338" s="294"/>
      <c r="M338" s="294"/>
      <c r="N338" s="97"/>
      <c r="O338" s="294"/>
    </row>
    <row r="339" spans="1:16" s="287" customFormat="1" ht="168" x14ac:dyDescent="0.5">
      <c r="A339" s="60">
        <v>53</v>
      </c>
      <c r="B339" s="255" t="s">
        <v>1447</v>
      </c>
      <c r="C339" s="378">
        <v>1655790500</v>
      </c>
      <c r="D339" s="341"/>
      <c r="E339" s="341"/>
      <c r="F339" s="294" t="s">
        <v>1448</v>
      </c>
      <c r="G339" s="341"/>
      <c r="H339" s="294"/>
      <c r="I339" s="294"/>
      <c r="J339" s="294"/>
      <c r="K339" s="97" t="s">
        <v>1449</v>
      </c>
      <c r="L339" s="294"/>
      <c r="M339" s="294"/>
      <c r="N339" s="97"/>
      <c r="O339" s="294"/>
    </row>
    <row r="340" spans="1:16" s="287" customFormat="1" ht="126" x14ac:dyDescent="0.5">
      <c r="A340" s="60">
        <v>57</v>
      </c>
      <c r="B340" s="255" t="s">
        <v>1450</v>
      </c>
      <c r="C340" s="378">
        <v>101208000</v>
      </c>
      <c r="D340" s="341"/>
      <c r="E340" s="341"/>
      <c r="F340" s="294" t="s">
        <v>1451</v>
      </c>
      <c r="G340" s="341"/>
      <c r="H340" s="294"/>
      <c r="I340" s="294"/>
      <c r="J340" s="294"/>
      <c r="K340" s="97" t="s">
        <v>1452</v>
      </c>
      <c r="L340" s="294"/>
      <c r="M340" s="294"/>
      <c r="N340" s="97"/>
      <c r="O340" s="294"/>
    </row>
    <row r="341" spans="1:16" s="287" customFormat="1" ht="63" x14ac:dyDescent="0.5">
      <c r="A341" s="60">
        <v>58</v>
      </c>
      <c r="B341" s="255" t="s">
        <v>1453</v>
      </c>
      <c r="C341" s="362">
        <v>8910000</v>
      </c>
      <c r="D341" s="341"/>
      <c r="E341" s="341"/>
      <c r="F341" s="294" t="s">
        <v>1454</v>
      </c>
      <c r="G341" s="341"/>
      <c r="H341" s="294"/>
      <c r="I341" s="294"/>
      <c r="J341" s="294"/>
      <c r="K341" s="97" t="s">
        <v>1455</v>
      </c>
      <c r="L341" s="294"/>
      <c r="M341" s="294"/>
      <c r="N341" s="97"/>
      <c r="O341" s="294"/>
    </row>
    <row r="342" spans="1:16" s="287" customFormat="1" ht="84" x14ac:dyDescent="0.5">
      <c r="A342" s="60">
        <v>77</v>
      </c>
      <c r="B342" s="255" t="s">
        <v>1456</v>
      </c>
      <c r="C342" s="362">
        <f>500*317000</f>
        <v>158500000</v>
      </c>
      <c r="D342" s="341"/>
      <c r="E342" s="341"/>
      <c r="F342" s="294" t="s">
        <v>1457</v>
      </c>
      <c r="G342" s="341"/>
      <c r="H342" s="294"/>
      <c r="I342" s="294"/>
      <c r="J342" s="294"/>
      <c r="K342" s="97" t="s">
        <v>1458</v>
      </c>
      <c r="L342" s="294"/>
      <c r="M342" s="294"/>
      <c r="N342" s="97"/>
      <c r="O342" s="294"/>
    </row>
    <row r="343" spans="1:16" s="341" customFormat="1" ht="399" x14ac:dyDescent="0.5">
      <c r="A343" s="60">
        <v>16</v>
      </c>
      <c r="B343" s="255" t="s">
        <v>1459</v>
      </c>
      <c r="C343" s="362">
        <f>663541600+856087624</f>
        <v>1519629224</v>
      </c>
      <c r="F343" s="294" t="s">
        <v>1460</v>
      </c>
      <c r="H343" s="294"/>
      <c r="I343" s="294"/>
      <c r="J343" s="294"/>
      <c r="K343" s="97" t="s">
        <v>1461</v>
      </c>
      <c r="L343" s="294"/>
      <c r="M343" s="294"/>
      <c r="N343" s="97"/>
      <c r="O343" s="294"/>
    </row>
    <row r="344" spans="1:16" s="341" customFormat="1" ht="189" x14ac:dyDescent="0.5">
      <c r="A344" s="60">
        <v>20</v>
      </c>
      <c r="B344" s="255" t="s">
        <v>1462</v>
      </c>
      <c r="C344" s="378">
        <v>399968000</v>
      </c>
      <c r="F344" s="61" t="s">
        <v>1463</v>
      </c>
      <c r="H344" s="294"/>
      <c r="I344" s="294"/>
      <c r="J344" s="294"/>
      <c r="K344" s="514" t="s">
        <v>1464</v>
      </c>
      <c r="L344" s="294"/>
      <c r="M344" s="294"/>
      <c r="N344" s="97"/>
      <c r="O344" s="294"/>
      <c r="P344" s="373"/>
    </row>
    <row r="345" spans="1:16" s="287" customFormat="1" ht="84" x14ac:dyDescent="0.5">
      <c r="A345" s="60">
        <f>'Done 2019 - 2025'!A191+1</f>
        <v>37</v>
      </c>
      <c r="B345" s="255" t="s">
        <v>1465</v>
      </c>
      <c r="C345" s="378">
        <v>11949000</v>
      </c>
      <c r="D345" s="341"/>
      <c r="E345" s="341"/>
      <c r="F345" s="294" t="s">
        <v>1466</v>
      </c>
      <c r="G345" s="341"/>
      <c r="H345" s="294"/>
      <c r="I345" s="294"/>
      <c r="J345" s="294"/>
      <c r="K345" s="97" t="s">
        <v>1467</v>
      </c>
      <c r="L345" s="294"/>
      <c r="M345" s="294"/>
      <c r="N345" s="97"/>
      <c r="O345" s="294"/>
    </row>
    <row r="346" spans="1:16" s="287" customFormat="1" ht="84" x14ac:dyDescent="0.5">
      <c r="A346" s="60">
        <f>'LATEST LOSS'!A123+1</f>
        <v>32</v>
      </c>
      <c r="B346" s="255" t="s">
        <v>198</v>
      </c>
      <c r="C346" s="378">
        <v>11949000</v>
      </c>
      <c r="D346" s="341"/>
      <c r="E346" s="341"/>
      <c r="F346" s="294" t="s">
        <v>1468</v>
      </c>
      <c r="G346" s="341"/>
      <c r="H346" s="294"/>
      <c r="I346" s="294"/>
      <c r="J346" s="294"/>
      <c r="K346" s="97" t="s">
        <v>1469</v>
      </c>
      <c r="L346" s="294"/>
      <c r="M346" s="294"/>
      <c r="N346" s="97"/>
      <c r="O346" s="294"/>
    </row>
    <row r="347" spans="1:16" s="287" customFormat="1" ht="294" x14ac:dyDescent="0.5">
      <c r="A347" s="60">
        <f>Loss!A355+1</f>
        <v>41</v>
      </c>
      <c r="B347" s="255" t="s">
        <v>1470</v>
      </c>
      <c r="C347" s="516">
        <v>148560000</v>
      </c>
      <c r="D347" s="341"/>
      <c r="E347" s="341"/>
      <c r="F347" s="294" t="s">
        <v>1471</v>
      </c>
      <c r="G347" s="341"/>
      <c r="H347" s="294"/>
      <c r="I347" s="294"/>
      <c r="J347" s="294"/>
      <c r="K347" s="97" t="s">
        <v>1472</v>
      </c>
      <c r="L347" s="294"/>
      <c r="M347" s="294"/>
      <c r="N347" s="97"/>
      <c r="O347" s="294"/>
    </row>
    <row r="348" spans="1:16" s="287" customFormat="1" ht="63" x14ac:dyDescent="0.5">
      <c r="A348" s="60">
        <f>Loss!A347+1</f>
        <v>42</v>
      </c>
      <c r="B348" s="255" t="s">
        <v>1473</v>
      </c>
      <c r="C348" s="362">
        <v>260574700</v>
      </c>
      <c r="D348" s="341"/>
      <c r="E348" s="341"/>
      <c r="F348" s="294" t="s">
        <v>1277</v>
      </c>
      <c r="G348" s="341"/>
      <c r="H348" s="294"/>
      <c r="I348" s="294"/>
      <c r="J348" s="294"/>
      <c r="K348" s="97" t="s">
        <v>1474</v>
      </c>
      <c r="L348" s="294"/>
      <c r="M348" s="294"/>
      <c r="N348" s="97"/>
      <c r="O348" s="294"/>
    </row>
    <row r="349" spans="1:16" s="287" customFormat="1" ht="63" x14ac:dyDescent="0.5">
      <c r="A349" s="60">
        <f>A348+1</f>
        <v>43</v>
      </c>
      <c r="B349" s="255" t="s">
        <v>1475</v>
      </c>
      <c r="C349" s="362">
        <v>212565400</v>
      </c>
      <c r="D349" s="341"/>
      <c r="E349" s="341"/>
      <c r="F349" s="294" t="s">
        <v>1277</v>
      </c>
      <c r="G349" s="341"/>
      <c r="H349" s="294"/>
      <c r="I349" s="294"/>
      <c r="J349" s="294"/>
      <c r="K349" s="97" t="s">
        <v>1476</v>
      </c>
      <c r="L349" s="294"/>
      <c r="M349" s="294"/>
      <c r="N349" s="97"/>
      <c r="O349" s="294"/>
    </row>
    <row r="350" spans="1:16" s="287" customFormat="1" ht="84" x14ac:dyDescent="0.5">
      <c r="A350" s="60">
        <f>Loss!A353+1</f>
        <v>35</v>
      </c>
      <c r="B350" s="255" t="s">
        <v>1477</v>
      </c>
      <c r="C350" s="378">
        <v>9139200</v>
      </c>
      <c r="D350" s="341"/>
      <c r="E350" s="341"/>
      <c r="F350" s="294" t="s">
        <v>1432</v>
      </c>
      <c r="G350" s="341"/>
      <c r="H350" s="294"/>
      <c r="I350" s="294"/>
      <c r="J350" s="294"/>
      <c r="K350" s="97" t="s">
        <v>1478</v>
      </c>
      <c r="L350" s="294"/>
      <c r="M350" s="294"/>
      <c r="N350" s="97"/>
      <c r="O350" s="294"/>
    </row>
    <row r="351" spans="1:16" s="287" customFormat="1" ht="63" x14ac:dyDescent="0.5">
      <c r="A351" s="60">
        <f>'Prospek 2025'!A38+1</f>
        <v>39</v>
      </c>
      <c r="B351" s="255" t="s">
        <v>1479</v>
      </c>
      <c r="C351" s="341"/>
      <c r="D351" s="341"/>
      <c r="E351" s="341"/>
      <c r="F351" s="294" t="s">
        <v>1480</v>
      </c>
      <c r="G351" s="341"/>
      <c r="H351" s="294"/>
      <c r="I351" s="294"/>
      <c r="J351" s="294"/>
      <c r="K351" s="97" t="s">
        <v>1481</v>
      </c>
      <c r="L351" s="294"/>
      <c r="M351" s="294"/>
      <c r="N351" s="97"/>
      <c r="O351" s="294"/>
    </row>
    <row r="352" spans="1:16" s="287" customFormat="1" ht="84" x14ac:dyDescent="0.5">
      <c r="A352" s="60">
        <f>'Prospek 2025'!A19+1</f>
        <v>19</v>
      </c>
      <c r="B352" s="255" t="s">
        <v>1482</v>
      </c>
      <c r="C352" s="378">
        <v>2096047586</v>
      </c>
      <c r="D352" s="341"/>
      <c r="E352" s="61" t="s">
        <v>1483</v>
      </c>
      <c r="F352" s="61" t="s">
        <v>1484</v>
      </c>
      <c r="G352" s="341"/>
      <c r="H352" s="294"/>
      <c r="I352" s="294"/>
      <c r="J352" s="294"/>
      <c r="K352" s="97" t="s">
        <v>1485</v>
      </c>
      <c r="L352" s="294"/>
      <c r="M352" s="294"/>
      <c r="N352" s="97"/>
      <c r="O352" s="294"/>
    </row>
    <row r="353" spans="1:15" s="287" customFormat="1" ht="63" x14ac:dyDescent="0.5">
      <c r="A353" s="60">
        <f>'Prospek 2025'!A33+1</f>
        <v>34</v>
      </c>
      <c r="B353" s="255" t="s">
        <v>1486</v>
      </c>
      <c r="C353" s="378">
        <v>3508295916</v>
      </c>
      <c r="D353" s="341"/>
      <c r="E353" s="341"/>
      <c r="F353" s="294" t="s">
        <v>996</v>
      </c>
      <c r="G353" s="341"/>
      <c r="H353" s="294"/>
      <c r="I353" s="294"/>
      <c r="J353" s="294"/>
      <c r="K353" s="97" t="s">
        <v>1487</v>
      </c>
      <c r="L353" s="294"/>
      <c r="M353" s="294"/>
      <c r="N353" s="97"/>
      <c r="O353" s="294"/>
    </row>
    <row r="354" spans="1:15" s="287" customFormat="1" ht="105" x14ac:dyDescent="0.5">
      <c r="A354" s="60">
        <f>'Prospek 2025'!A39+1</f>
        <v>40</v>
      </c>
      <c r="B354" s="255" t="s">
        <v>1488</v>
      </c>
      <c r="C354" s="378">
        <v>3127927504</v>
      </c>
      <c r="D354" s="341"/>
      <c r="E354" s="341"/>
      <c r="F354" s="294" t="s">
        <v>271</v>
      </c>
      <c r="G354" s="341"/>
      <c r="H354" s="294"/>
      <c r="I354" s="294"/>
      <c r="J354" s="294"/>
      <c r="K354" s="97" t="s">
        <v>1489</v>
      </c>
      <c r="L354" s="294"/>
      <c r="M354" s="294"/>
      <c r="N354" s="97"/>
      <c r="O354" s="294"/>
    </row>
    <row r="355" spans="1:15" s="287" customFormat="1" ht="84" x14ac:dyDescent="0.5">
      <c r="A355" s="60">
        <v>40</v>
      </c>
      <c r="B355" s="255" t="s">
        <v>1490</v>
      </c>
      <c r="C355" s="516">
        <v>283943700</v>
      </c>
      <c r="D355" s="341"/>
      <c r="E355" s="341"/>
      <c r="F355" s="294" t="s">
        <v>1491</v>
      </c>
      <c r="G355" s="341"/>
      <c r="H355" s="294"/>
      <c r="I355" s="294"/>
      <c r="J355" s="294"/>
      <c r="K355" s="97" t="s">
        <v>1492</v>
      </c>
      <c r="L355" s="294"/>
      <c r="M355" s="294"/>
      <c r="N355" s="97"/>
      <c r="O355" s="294"/>
    </row>
    <row r="356" spans="1:15" s="287" customFormat="1" ht="147" x14ac:dyDescent="0.5">
      <c r="A356" s="60">
        <v>41</v>
      </c>
      <c r="B356" s="255" t="s">
        <v>159</v>
      </c>
      <c r="C356" s="362">
        <f>1480740800+1398240000</f>
        <v>2878980800</v>
      </c>
      <c r="D356" s="341"/>
      <c r="E356" s="341"/>
      <c r="F356" s="294" t="s">
        <v>1493</v>
      </c>
      <c r="G356" s="341"/>
      <c r="H356" s="294"/>
      <c r="I356" s="294"/>
      <c r="J356" s="294"/>
      <c r="K356" s="97" t="s">
        <v>1494</v>
      </c>
      <c r="L356" s="294"/>
      <c r="M356" s="294"/>
      <c r="N356" s="97"/>
      <c r="O356" s="294"/>
    </row>
    <row r="357" spans="1:15" s="341" customFormat="1" ht="63" x14ac:dyDescent="0.5">
      <c r="A357" s="60">
        <v>57</v>
      </c>
      <c r="B357" s="255" t="s">
        <v>1495</v>
      </c>
      <c r="C357" s="378">
        <v>1275496700</v>
      </c>
      <c r="F357" s="294" t="s">
        <v>271</v>
      </c>
      <c r="H357" s="294"/>
      <c r="I357" s="294"/>
      <c r="J357" s="294"/>
      <c r="K357" s="97" t="s">
        <v>1497</v>
      </c>
      <c r="L357" s="294"/>
      <c r="M357" s="294"/>
      <c r="N357" s="97"/>
      <c r="O357" s="294"/>
    </row>
    <row r="358" spans="1:15" s="341" customFormat="1" ht="84" x14ac:dyDescent="0.5">
      <c r="A358" s="60">
        <v>58</v>
      </c>
      <c r="B358" s="255" t="s">
        <v>1498</v>
      </c>
      <c r="C358" s="294" t="s">
        <v>1499</v>
      </c>
      <c r="F358" s="294" t="s">
        <v>762</v>
      </c>
      <c r="H358" s="294"/>
      <c r="I358" s="294"/>
      <c r="J358" s="294"/>
      <c r="K358" s="97" t="s">
        <v>1500</v>
      </c>
      <c r="L358" s="294"/>
      <c r="M358" s="294"/>
      <c r="N358" s="97"/>
      <c r="O358" s="294"/>
    </row>
    <row r="359" spans="1:15" s="341" customFormat="1" ht="147" x14ac:dyDescent="0.5">
      <c r="A359" s="60">
        <v>59</v>
      </c>
      <c r="B359" s="255" t="s">
        <v>1501</v>
      </c>
      <c r="C359" s="378">
        <v>1205160398</v>
      </c>
      <c r="F359" s="294" t="s">
        <v>1502</v>
      </c>
      <c r="H359" s="294"/>
      <c r="I359" s="294" t="s">
        <v>1503</v>
      </c>
      <c r="J359" s="294"/>
      <c r="K359" s="97" t="s">
        <v>1504</v>
      </c>
      <c r="L359" s="294"/>
      <c r="M359" s="294"/>
      <c r="N359" s="97"/>
      <c r="O359" s="294"/>
    </row>
    <row r="360" spans="1:15" s="341" customFormat="1" ht="409.5" x14ac:dyDescent="0.5">
      <c r="A360" s="60">
        <v>15</v>
      </c>
      <c r="B360" s="255" t="s">
        <v>1505</v>
      </c>
      <c r="C360" s="378">
        <v>191000000</v>
      </c>
      <c r="F360" s="294" t="s">
        <v>1506</v>
      </c>
      <c r="H360" s="294"/>
      <c r="I360" s="294"/>
      <c r="J360" s="294"/>
      <c r="K360" s="97" t="s">
        <v>1507</v>
      </c>
      <c r="L360" s="294"/>
      <c r="M360" s="294"/>
      <c r="N360" s="97"/>
      <c r="O360" s="294"/>
    </row>
    <row r="361" spans="1:15" s="287" customFormat="1" ht="409.5" x14ac:dyDescent="0.5">
      <c r="A361" s="60">
        <v>24</v>
      </c>
      <c r="B361" s="255" t="s">
        <v>1508</v>
      </c>
      <c r="C361" s="415">
        <v>673031268</v>
      </c>
      <c r="D361" s="362"/>
      <c r="E361" s="341"/>
      <c r="F361" s="294" t="s">
        <v>1509</v>
      </c>
      <c r="G361" s="341"/>
      <c r="H361" s="294"/>
      <c r="I361" s="294"/>
      <c r="J361" s="294"/>
      <c r="K361" s="97" t="s">
        <v>1510</v>
      </c>
      <c r="L361" s="294"/>
      <c r="M361" s="294"/>
      <c r="N361" s="97"/>
      <c r="O361" s="294"/>
    </row>
    <row r="362" spans="1:15" s="287" customFormat="1" ht="105" x14ac:dyDescent="0.5">
      <c r="A362" s="60">
        <v>40</v>
      </c>
      <c r="B362" s="255" t="s">
        <v>1511</v>
      </c>
      <c r="C362" s="362">
        <v>2067111000</v>
      </c>
      <c r="D362" s="341"/>
      <c r="E362" s="341"/>
      <c r="F362" s="294" t="s">
        <v>105</v>
      </c>
      <c r="G362" s="341"/>
      <c r="H362" s="294"/>
      <c r="I362" s="294"/>
      <c r="J362" s="294"/>
      <c r="K362" s="97" t="s">
        <v>1512</v>
      </c>
      <c r="L362" s="294"/>
      <c r="M362" s="294"/>
      <c r="N362" s="97"/>
      <c r="O362" s="294"/>
    </row>
    <row r="363" spans="1:15" s="287" customFormat="1" ht="105" x14ac:dyDescent="0.5">
      <c r="A363" s="60">
        <v>57</v>
      </c>
      <c r="B363" s="255" t="s">
        <v>1513</v>
      </c>
      <c r="C363" s="341"/>
      <c r="D363" s="341"/>
      <c r="E363" s="341"/>
      <c r="F363" s="294" t="s">
        <v>1514</v>
      </c>
      <c r="G363" s="341"/>
      <c r="H363" s="294"/>
      <c r="I363" s="294"/>
      <c r="J363" s="294"/>
      <c r="K363" s="97" t="s">
        <v>1515</v>
      </c>
      <c r="L363" s="294"/>
      <c r="M363" s="294"/>
      <c r="N363" s="97"/>
      <c r="O363" s="294"/>
    </row>
    <row r="364" spans="1:15" s="287" customFormat="1" ht="231" x14ac:dyDescent="0.5">
      <c r="A364" s="60">
        <v>64</v>
      </c>
      <c r="B364" s="255" t="s">
        <v>1516</v>
      </c>
      <c r="C364" s="378">
        <v>2154167600</v>
      </c>
      <c r="D364" s="341"/>
      <c r="E364" s="341"/>
      <c r="F364" s="294" t="s">
        <v>271</v>
      </c>
      <c r="G364" s="341"/>
      <c r="H364" s="294"/>
      <c r="I364" s="294"/>
      <c r="J364" s="294"/>
      <c r="K364" s="97" t="s">
        <v>1517</v>
      </c>
      <c r="L364" s="294"/>
      <c r="M364" s="294"/>
      <c r="N364" s="97"/>
      <c r="O364" s="294"/>
    </row>
    <row r="365" spans="1:15" s="287" customFormat="1" ht="105" x14ac:dyDescent="0.5">
      <c r="A365" s="60">
        <v>50</v>
      </c>
      <c r="B365" s="255" t="s">
        <v>1518</v>
      </c>
      <c r="C365" s="378">
        <v>228980700</v>
      </c>
      <c r="D365" s="341"/>
      <c r="E365" s="341"/>
      <c r="F365" s="294" t="s">
        <v>1519</v>
      </c>
      <c r="G365" s="341"/>
      <c r="H365" s="294"/>
      <c r="I365" s="294"/>
      <c r="J365" s="294"/>
      <c r="K365" s="97" t="s">
        <v>1520</v>
      </c>
      <c r="L365" s="294"/>
      <c r="M365" s="294"/>
      <c r="N365" s="97"/>
      <c r="O365" s="294"/>
    </row>
    <row r="366" spans="1:15" s="520" customFormat="1" ht="168" x14ac:dyDescent="0.5">
      <c r="A366" s="60">
        <v>14</v>
      </c>
      <c r="B366" s="518" t="s">
        <v>1521</v>
      </c>
      <c r="C366" s="519"/>
      <c r="D366" s="519">
        <v>2184084010</v>
      </c>
      <c r="F366" s="521" t="s">
        <v>914</v>
      </c>
      <c r="H366" s="521"/>
      <c r="I366" s="521"/>
      <c r="J366" s="521"/>
      <c r="K366" s="397" t="s">
        <v>1522</v>
      </c>
      <c r="L366" s="521"/>
      <c r="M366" s="521"/>
      <c r="N366" s="397"/>
      <c r="O366" s="521"/>
    </row>
    <row r="367" spans="1:15" s="287" customFormat="1" ht="126" x14ac:dyDescent="0.5">
      <c r="A367" s="60">
        <v>40</v>
      </c>
      <c r="B367" s="255" t="s">
        <v>1523</v>
      </c>
      <c r="C367" s="378">
        <v>3371899000</v>
      </c>
      <c r="D367" s="341"/>
      <c r="E367" s="341"/>
      <c r="F367" s="294" t="s">
        <v>1524</v>
      </c>
      <c r="G367" s="341"/>
      <c r="H367" s="294"/>
      <c r="I367" s="294"/>
      <c r="J367" s="294"/>
      <c r="K367" s="97" t="s">
        <v>1525</v>
      </c>
      <c r="L367" s="294"/>
      <c r="M367" s="294"/>
      <c r="N367" s="97"/>
      <c r="O367" s="294"/>
    </row>
    <row r="368" spans="1:15" s="287" customFormat="1" ht="147" x14ac:dyDescent="0.5">
      <c r="A368" s="60">
        <v>41</v>
      </c>
      <c r="B368" s="255" t="s">
        <v>1526</v>
      </c>
      <c r="C368" s="362">
        <v>416941200</v>
      </c>
      <c r="D368" s="341"/>
      <c r="E368" s="341"/>
      <c r="F368" s="294" t="s">
        <v>177</v>
      </c>
      <c r="G368" s="341"/>
      <c r="H368" s="294"/>
      <c r="I368" s="294"/>
      <c r="J368" s="294"/>
      <c r="K368" s="97" t="s">
        <v>1527</v>
      </c>
      <c r="L368" s="294"/>
      <c r="M368" s="294"/>
      <c r="N368" s="97"/>
      <c r="O368" s="294"/>
    </row>
    <row r="369" spans="1:15" s="287" customFormat="1" ht="84" x14ac:dyDescent="0.5">
      <c r="A369" s="60">
        <v>49</v>
      </c>
      <c r="B369" s="255" t="s">
        <v>1528</v>
      </c>
      <c r="C369" s="378">
        <v>2141873590</v>
      </c>
      <c r="D369" s="341"/>
      <c r="E369" s="341"/>
      <c r="F369" s="294" t="s">
        <v>1514</v>
      </c>
      <c r="G369" s="341"/>
      <c r="H369" s="294"/>
      <c r="I369" s="294"/>
      <c r="J369" s="294"/>
      <c r="K369" s="97" t="s">
        <v>1529</v>
      </c>
      <c r="L369" s="294"/>
      <c r="M369" s="294"/>
      <c r="N369" s="97"/>
      <c r="O369" s="294"/>
    </row>
    <row r="370" spans="1:15" s="287" customFormat="1" ht="63" x14ac:dyDescent="0.5">
      <c r="A370" s="60">
        <v>51</v>
      </c>
      <c r="B370" s="255" t="s">
        <v>1530</v>
      </c>
      <c r="C370" s="378">
        <v>283015100</v>
      </c>
      <c r="D370" s="341"/>
      <c r="E370" s="341"/>
      <c r="F370" s="294" t="s">
        <v>1531</v>
      </c>
      <c r="G370" s="341"/>
      <c r="H370" s="294"/>
      <c r="I370" s="294"/>
      <c r="J370" s="294"/>
      <c r="K370" s="97" t="s">
        <v>1532</v>
      </c>
      <c r="L370" s="294"/>
      <c r="M370" s="294"/>
      <c r="N370" s="97"/>
      <c r="O370" s="294"/>
    </row>
    <row r="371" spans="1:15" s="287" customFormat="1" ht="63" x14ac:dyDescent="0.5">
      <c r="A371" s="60">
        <v>65</v>
      </c>
      <c r="B371" s="255" t="s">
        <v>1533</v>
      </c>
      <c r="C371" s="378">
        <v>114238300</v>
      </c>
      <c r="D371" s="341"/>
      <c r="E371" s="341"/>
      <c r="F371" s="294" t="s">
        <v>1534</v>
      </c>
      <c r="G371" s="341"/>
      <c r="H371" s="294"/>
      <c r="I371" s="294"/>
      <c r="J371" s="294"/>
      <c r="K371" s="97" t="s">
        <v>1535</v>
      </c>
      <c r="L371" s="294"/>
      <c r="M371" s="294"/>
      <c r="N371" s="97"/>
      <c r="O371" s="294"/>
    </row>
    <row r="372" spans="1:15" s="287" customFormat="1" ht="105" x14ac:dyDescent="0.5">
      <c r="A372" s="60">
        <v>52</v>
      </c>
      <c r="B372" s="255" t="s">
        <v>1536</v>
      </c>
      <c r="C372" s="378">
        <v>848846800</v>
      </c>
      <c r="D372" s="341"/>
      <c r="E372" s="341"/>
      <c r="F372" s="294" t="s">
        <v>1537</v>
      </c>
      <c r="G372" s="341"/>
      <c r="H372" s="294"/>
      <c r="I372" s="294"/>
      <c r="J372" s="294"/>
      <c r="K372" s="97" t="s">
        <v>1538</v>
      </c>
      <c r="L372" s="294"/>
      <c r="M372" s="294"/>
      <c r="N372" s="97"/>
      <c r="O372" s="294"/>
    </row>
    <row r="373" spans="1:15" s="287" customFormat="1" ht="210" x14ac:dyDescent="0.5">
      <c r="A373" s="60">
        <v>61</v>
      </c>
      <c r="B373" s="255" t="s">
        <v>1539</v>
      </c>
      <c r="C373" s="341"/>
      <c r="D373" s="341"/>
      <c r="E373" s="341"/>
      <c r="F373" s="294" t="s">
        <v>1502</v>
      </c>
      <c r="G373" s="341"/>
      <c r="H373" s="294"/>
      <c r="I373" s="294"/>
      <c r="J373" s="294"/>
      <c r="K373" s="97" t="s">
        <v>1540</v>
      </c>
      <c r="L373" s="294"/>
      <c r="M373" s="294"/>
      <c r="N373" s="97"/>
      <c r="O373" s="294"/>
    </row>
    <row r="374" spans="1:15" s="287" customFormat="1" ht="123" customHeight="1" x14ac:dyDescent="0.5">
      <c r="A374" s="60">
        <v>54</v>
      </c>
      <c r="B374" s="255" t="s">
        <v>1541</v>
      </c>
      <c r="C374" s="378">
        <v>55311000</v>
      </c>
      <c r="D374" s="341"/>
      <c r="E374" s="341"/>
      <c r="F374" s="294" t="s">
        <v>1514</v>
      </c>
      <c r="G374" s="341"/>
      <c r="H374" s="294"/>
      <c r="I374" s="294"/>
      <c r="J374" s="294"/>
      <c r="K374" s="97" t="s">
        <v>1542</v>
      </c>
      <c r="L374" s="294"/>
      <c r="M374" s="294"/>
      <c r="N374" s="97"/>
      <c r="O374" s="294"/>
    </row>
    <row r="375" spans="1:15" s="287" customFormat="1" ht="399" x14ac:dyDescent="0.5">
      <c r="A375" s="60">
        <v>40</v>
      </c>
      <c r="B375" s="255" t="s">
        <v>1084</v>
      </c>
      <c r="C375" s="378">
        <v>2135074372</v>
      </c>
      <c r="D375" s="341"/>
      <c r="E375" s="341"/>
      <c r="F375" s="294" t="s">
        <v>1543</v>
      </c>
      <c r="G375" s="341"/>
      <c r="H375" s="294"/>
      <c r="I375" s="294"/>
      <c r="J375" s="294"/>
      <c r="K375" s="97" t="s">
        <v>1544</v>
      </c>
      <c r="L375" s="294"/>
      <c r="M375" s="294"/>
      <c r="N375" s="97"/>
      <c r="O375" s="294"/>
    </row>
    <row r="376" spans="1:15" s="287" customFormat="1" ht="84" x14ac:dyDescent="0.5">
      <c r="A376" s="60">
        <v>45</v>
      </c>
      <c r="B376" s="255" t="s">
        <v>1545</v>
      </c>
      <c r="C376" s="378">
        <v>22404600</v>
      </c>
      <c r="D376" s="341"/>
      <c r="E376" s="341"/>
      <c r="F376" s="294" t="s">
        <v>184</v>
      </c>
      <c r="G376" s="341"/>
      <c r="H376" s="294"/>
      <c r="I376" s="294"/>
      <c r="J376" s="294"/>
      <c r="K376" s="97" t="s">
        <v>1546</v>
      </c>
      <c r="L376" s="294"/>
      <c r="M376" s="294"/>
      <c r="N376" s="97"/>
      <c r="O376" s="294"/>
    </row>
    <row r="377" spans="1:15" s="287" customFormat="1" ht="84" x14ac:dyDescent="0.5">
      <c r="A377" s="60">
        <v>47</v>
      </c>
      <c r="B377" s="255" t="s">
        <v>1547</v>
      </c>
      <c r="C377" s="378">
        <v>77877000</v>
      </c>
      <c r="D377" s="341"/>
      <c r="E377" s="341"/>
      <c r="F377" s="294" t="s">
        <v>184</v>
      </c>
      <c r="G377" s="341"/>
      <c r="H377" s="294"/>
      <c r="I377" s="294"/>
      <c r="J377" s="294"/>
      <c r="K377" s="97" t="s">
        <v>1548</v>
      </c>
      <c r="L377" s="294"/>
      <c r="M377" s="294"/>
      <c r="N377" s="97"/>
      <c r="O377" s="294"/>
    </row>
    <row r="378" spans="1:15" s="287" customFormat="1" ht="105" x14ac:dyDescent="0.5">
      <c r="A378" s="60">
        <v>55</v>
      </c>
      <c r="B378" s="255" t="s">
        <v>1549</v>
      </c>
      <c r="C378" s="378">
        <v>664916100</v>
      </c>
      <c r="D378" s="341"/>
      <c r="E378" s="341"/>
      <c r="F378" s="294" t="s">
        <v>219</v>
      </c>
      <c r="G378" s="341"/>
      <c r="H378" s="294"/>
      <c r="I378" s="294"/>
      <c r="J378" s="294"/>
      <c r="K378" s="97" t="s">
        <v>1550</v>
      </c>
      <c r="L378" s="294"/>
      <c r="M378" s="294"/>
      <c r="N378" s="97"/>
      <c r="O378" s="294"/>
    </row>
    <row r="379" spans="1:15" s="287" customFormat="1" ht="105" x14ac:dyDescent="0.5">
      <c r="A379" s="60">
        <v>68</v>
      </c>
      <c r="B379" s="255" t="s">
        <v>1551</v>
      </c>
      <c r="C379" s="341"/>
      <c r="D379" s="341"/>
      <c r="E379" s="341"/>
      <c r="F379" s="294" t="s">
        <v>1552</v>
      </c>
      <c r="G379" s="341"/>
      <c r="H379" s="294"/>
      <c r="I379" s="294"/>
      <c r="J379" s="294"/>
      <c r="K379" s="97" t="s">
        <v>1553</v>
      </c>
      <c r="L379" s="294"/>
      <c r="M379" s="294"/>
      <c r="N379" s="97"/>
      <c r="O379" s="294"/>
    </row>
    <row r="380" spans="1:15" s="287" customFormat="1" ht="252" x14ac:dyDescent="0.5">
      <c r="A380" s="60">
        <v>69</v>
      </c>
      <c r="B380" s="255" t="s">
        <v>1554</v>
      </c>
      <c r="C380" s="525">
        <v>9656058300</v>
      </c>
      <c r="D380" s="341"/>
      <c r="E380" s="341"/>
      <c r="F380" s="294" t="s">
        <v>1555</v>
      </c>
      <c r="G380" s="341"/>
      <c r="H380" s="294"/>
      <c r="I380" s="294"/>
      <c r="J380" s="294"/>
      <c r="K380" s="97" t="s">
        <v>1556</v>
      </c>
      <c r="L380" s="294"/>
      <c r="M380" s="294"/>
      <c r="N380" s="97"/>
      <c r="O380" s="294"/>
    </row>
  </sheetData>
  <autoFilter ref="A4:N83" xr:uid="{00000000-0001-0000-0500-000000000000}"/>
  <conditionalFormatting sqref="A30:A33 D32:D33 A35 A258:I259 A264:I363 A365:I365 A372:I380 A381:A382 C381:I382 A383:I1048576">
    <cfRule type="expression" dxfId="11" priority="2">
      <formula>$A30&lt;&gt;""</formula>
    </cfRule>
  </conditionalFormatting>
  <conditionalFormatting sqref="A5:I22 A23:J23 A25:J26">
    <cfRule type="expression" dxfId="10" priority="13">
      <formula>$A5&lt;&gt;""</formula>
    </cfRule>
  </conditionalFormatting>
  <conditionalFormatting sqref="B381">
    <cfRule type="expression" dxfId="9" priority="19">
      <formula>$A382&lt;&gt;""</formula>
    </cfRule>
  </conditionalFormatting>
  <conditionalFormatting sqref="B24:I24">
    <cfRule type="expression" dxfId="8" priority="17">
      <formula>#REF!&lt;&gt;""</formula>
    </cfRule>
  </conditionalFormatting>
  <conditionalFormatting sqref="D27:D30">
    <cfRule type="expression" dxfId="7" priority="5">
      <formula>$A27&lt;&gt;""</formula>
    </cfRule>
  </conditionalFormatting>
  <pageMargins left="2.46" right="0.70866141732283472" top="0.74803149606299213" bottom="0.74803149606299213" header="0.31496062992125984" footer="0.31496062992125984"/>
  <pageSetup paperSize="8" scale="71" orientation="landscape" horizontalDpi="0"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90D7-BBC0-4FB7-B4CD-D1C7517C2363}">
  <sheetPr filterMode="1"/>
  <dimension ref="A1:P132"/>
  <sheetViews>
    <sheetView topLeftCell="A124" zoomScale="53" workbookViewId="0">
      <selection activeCell="A132" sqref="A132:XFD132"/>
    </sheetView>
  </sheetViews>
  <sheetFormatPr defaultColWidth="9.08984375" defaultRowHeight="14.5" x14ac:dyDescent="0.35"/>
  <cols>
    <col min="1" max="1" width="7.6328125" style="99" bestFit="1" customWidth="1"/>
    <col min="2" max="2" width="24.81640625" style="99" bestFit="1" customWidth="1"/>
    <col min="3" max="3" width="26.453125" style="99" bestFit="1" customWidth="1"/>
    <col min="4" max="4" width="26" style="99" bestFit="1" customWidth="1"/>
    <col min="5" max="5" width="9.08984375" style="99"/>
    <col min="6" max="6" width="26.90625" style="99" customWidth="1"/>
    <col min="7" max="7" width="9.08984375" style="99"/>
    <col min="8" max="8" width="8.26953125" style="99" bestFit="1" customWidth="1"/>
    <col min="9" max="9" width="8.90625" style="99" bestFit="1" customWidth="1"/>
    <col min="10" max="10" width="9.08984375" style="99"/>
    <col min="11" max="11" width="39.08984375" style="99" bestFit="1" customWidth="1"/>
    <col min="12" max="16384" width="9.08984375" style="99"/>
  </cols>
  <sheetData>
    <row r="1" spans="1:16" s="392" customFormat="1" ht="84" x14ac:dyDescent="0.5">
      <c r="A1" s="551" t="s">
        <v>1</v>
      </c>
      <c r="B1" s="552" t="s">
        <v>2</v>
      </c>
      <c r="C1" s="553" t="s">
        <v>3</v>
      </c>
      <c r="D1" s="554" t="s">
        <v>4</v>
      </c>
      <c r="E1" s="554"/>
      <c r="F1" s="555" t="s">
        <v>5</v>
      </c>
      <c r="G1" s="555" t="s">
        <v>6</v>
      </c>
      <c r="H1" s="555" t="s">
        <v>7</v>
      </c>
      <c r="I1" s="551" t="s">
        <v>8</v>
      </c>
      <c r="J1" s="555" t="s">
        <v>9</v>
      </c>
      <c r="K1" s="551" t="s">
        <v>10</v>
      </c>
      <c r="L1" s="555" t="s">
        <v>11</v>
      </c>
      <c r="M1" s="555" t="s">
        <v>12</v>
      </c>
      <c r="N1" s="555" t="s">
        <v>13</v>
      </c>
      <c r="O1" s="555" t="s">
        <v>14</v>
      </c>
      <c r="P1" s="290"/>
    </row>
    <row r="2" spans="1:16" s="341" customFormat="1" ht="168" hidden="1" x14ac:dyDescent="0.5">
      <c r="A2" s="511">
        <v>29</v>
      </c>
      <c r="B2" s="255" t="s">
        <v>1267</v>
      </c>
      <c r="C2" s="362">
        <f>1494960280+618749219</f>
        <v>2113709499</v>
      </c>
      <c r="D2" s="362">
        <v>113000000000</v>
      </c>
      <c r="E2" s="294" t="s">
        <v>1268</v>
      </c>
      <c r="F2" s="505" t="s">
        <v>1129</v>
      </c>
      <c r="H2" s="294"/>
      <c r="I2" s="294"/>
      <c r="J2" s="294"/>
      <c r="K2" s="97" t="s">
        <v>1269</v>
      </c>
      <c r="L2" s="294"/>
      <c r="M2" s="294"/>
      <c r="N2" s="97"/>
      <c r="O2" s="294"/>
    </row>
    <row r="3" spans="1:16" s="393" customFormat="1" ht="92.25" customHeight="1" x14ac:dyDescent="0.5">
      <c r="A3" s="56">
        <v>51</v>
      </c>
      <c r="B3" s="118" t="s">
        <v>1263</v>
      </c>
      <c r="F3" s="394" t="s">
        <v>113</v>
      </c>
      <c r="H3" s="394"/>
      <c r="I3" s="394"/>
      <c r="J3" s="394"/>
      <c r="K3" s="57" t="s">
        <v>2220</v>
      </c>
      <c r="L3" s="394"/>
      <c r="M3" s="394"/>
      <c r="N3" s="57"/>
      <c r="O3" s="394"/>
    </row>
    <row r="4" spans="1:16" s="393" customFormat="1" ht="132.75" customHeight="1" x14ac:dyDescent="0.5">
      <c r="A4" s="56">
        <v>52</v>
      </c>
      <c r="B4" s="118" t="s">
        <v>1265</v>
      </c>
      <c r="F4" s="394" t="s">
        <v>113</v>
      </c>
      <c r="H4" s="394"/>
      <c r="I4" s="394"/>
      <c r="J4" s="394"/>
      <c r="K4" s="563" t="s">
        <v>1270</v>
      </c>
      <c r="L4" s="394"/>
      <c r="M4" s="394"/>
      <c r="N4" s="57"/>
      <c r="O4" s="394"/>
    </row>
    <row r="5" spans="1:16" s="341" customFormat="1" ht="147" hidden="1" x14ac:dyDescent="0.5">
      <c r="A5" s="60">
        <v>53</v>
      </c>
      <c r="B5" s="255" t="s">
        <v>1265</v>
      </c>
      <c r="F5" s="294" t="s">
        <v>1142</v>
      </c>
      <c r="H5" s="294"/>
      <c r="I5" s="294"/>
      <c r="J5" s="294"/>
      <c r="K5" s="244" t="s">
        <v>1271</v>
      </c>
      <c r="L5" s="294"/>
      <c r="M5" s="294"/>
      <c r="N5" s="97"/>
      <c r="O5" s="294"/>
    </row>
    <row r="6" spans="1:16" s="393" customFormat="1" ht="63" x14ac:dyDescent="0.5">
      <c r="A6" s="56">
        <v>14</v>
      </c>
      <c r="B6" s="118" t="s">
        <v>1272</v>
      </c>
      <c r="D6" s="393" t="s">
        <v>1273</v>
      </c>
      <c r="F6" s="394" t="s">
        <v>1274</v>
      </c>
      <c r="H6" s="394"/>
      <c r="I6" s="394"/>
      <c r="J6" s="394"/>
      <c r="K6" s="57" t="s">
        <v>1275</v>
      </c>
      <c r="L6" s="394"/>
      <c r="M6" s="394"/>
      <c r="N6" s="57"/>
      <c r="O6" s="394"/>
    </row>
    <row r="7" spans="1:16" s="287" customFormat="1" ht="126" hidden="1" x14ac:dyDescent="0.5">
      <c r="A7" s="190">
        <v>36</v>
      </c>
      <c r="B7" s="253" t="s">
        <v>1276</v>
      </c>
      <c r="F7" s="289" t="s">
        <v>1277</v>
      </c>
      <c r="H7" s="289"/>
      <c r="I7" s="289"/>
      <c r="J7" s="289"/>
      <c r="K7" s="244" t="s">
        <v>1278</v>
      </c>
      <c r="L7" s="289"/>
      <c r="M7" s="289"/>
      <c r="N7" s="244"/>
      <c r="O7" s="289"/>
    </row>
    <row r="8" spans="1:16" s="287" customFormat="1" ht="126" hidden="1" x14ac:dyDescent="0.5">
      <c r="A8" s="190">
        <v>38</v>
      </c>
      <c r="B8" s="253" t="s">
        <v>1279</v>
      </c>
      <c r="F8" s="289" t="s">
        <v>1280</v>
      </c>
      <c r="H8" s="289"/>
      <c r="I8" s="289"/>
      <c r="J8" s="289"/>
      <c r="K8" s="244" t="s">
        <v>1281</v>
      </c>
      <c r="L8" s="289"/>
      <c r="M8" s="289"/>
      <c r="N8" s="244"/>
      <c r="O8" s="289"/>
    </row>
    <row r="9" spans="1:16" s="367" customFormat="1" ht="84" hidden="1" x14ac:dyDescent="0.5">
      <c r="A9" s="363">
        <v>28</v>
      </c>
      <c r="B9" s="364" t="s">
        <v>1282</v>
      </c>
      <c r="C9" s="365">
        <v>6011000000</v>
      </c>
      <c r="D9" s="367" t="s">
        <v>284</v>
      </c>
      <c r="F9" s="368"/>
      <c r="H9" s="368"/>
      <c r="I9" s="368"/>
      <c r="J9" s="368"/>
      <c r="K9" s="369"/>
      <c r="L9" s="368"/>
      <c r="M9" s="368"/>
      <c r="N9" s="369"/>
      <c r="O9" s="368"/>
    </row>
    <row r="10" spans="1:16" s="367" customFormat="1" ht="105" hidden="1" x14ac:dyDescent="0.5">
      <c r="A10" s="548">
        <v>29</v>
      </c>
      <c r="B10" s="364" t="s">
        <v>1283</v>
      </c>
      <c r="C10" s="365">
        <v>7041188000</v>
      </c>
      <c r="E10" s="367" t="s">
        <v>1284</v>
      </c>
      <c r="F10" s="368"/>
      <c r="H10" s="368"/>
      <c r="I10" s="368"/>
      <c r="J10" s="368"/>
      <c r="K10" s="369"/>
      <c r="L10" s="368"/>
      <c r="M10" s="368"/>
      <c r="N10" s="369"/>
      <c r="O10" s="368"/>
    </row>
    <row r="11" spans="1:16" s="367" customFormat="1" ht="147" hidden="1" x14ac:dyDescent="0.5">
      <c r="A11" s="363">
        <v>32</v>
      </c>
      <c r="B11" s="364" t="s">
        <v>1285</v>
      </c>
      <c r="C11" s="365">
        <v>5496945000</v>
      </c>
      <c r="D11" s="367" t="s">
        <v>284</v>
      </c>
      <c r="F11" s="368"/>
      <c r="H11" s="368"/>
      <c r="I11" s="368"/>
      <c r="J11" s="368"/>
      <c r="K11" s="369"/>
      <c r="L11" s="368"/>
      <c r="M11" s="368"/>
      <c r="N11" s="369"/>
      <c r="O11" s="368"/>
    </row>
    <row r="12" spans="1:16" s="341" customFormat="1" ht="189" hidden="1" x14ac:dyDescent="0.5">
      <c r="A12" s="60">
        <v>34</v>
      </c>
      <c r="B12" s="255" t="s">
        <v>1286</v>
      </c>
      <c r="C12" s="378">
        <v>1163967360</v>
      </c>
      <c r="D12" s="294" t="s">
        <v>1287</v>
      </c>
      <c r="F12" s="294" t="s">
        <v>1142</v>
      </c>
      <c r="H12" s="294" t="s">
        <v>1288</v>
      </c>
      <c r="I12" s="294"/>
      <c r="J12" s="294"/>
      <c r="K12" s="244" t="s">
        <v>1289</v>
      </c>
      <c r="L12" s="294"/>
      <c r="M12" s="294"/>
      <c r="N12" s="97"/>
      <c r="O12" s="294"/>
    </row>
    <row r="13" spans="1:16" s="287" customFormat="1" ht="84" hidden="1" x14ac:dyDescent="0.5">
      <c r="A13" s="190">
        <v>35</v>
      </c>
      <c r="B13" s="253" t="s">
        <v>1290</v>
      </c>
      <c r="D13" s="287" t="s">
        <v>1284</v>
      </c>
      <c r="F13" s="289" t="s">
        <v>1073</v>
      </c>
      <c r="H13" s="289"/>
      <c r="I13" s="289"/>
      <c r="J13" s="289"/>
      <c r="K13" s="244" t="s">
        <v>1291</v>
      </c>
      <c r="L13" s="289"/>
      <c r="M13" s="289"/>
      <c r="N13" s="244"/>
      <c r="O13" s="289"/>
    </row>
    <row r="14" spans="1:16" s="392" customFormat="1" ht="110.25" customHeight="1" x14ac:dyDescent="0.5">
      <c r="A14" s="170">
        <v>39</v>
      </c>
      <c r="B14" s="556" t="s">
        <v>1292</v>
      </c>
      <c r="D14" s="392" t="s">
        <v>1293</v>
      </c>
      <c r="F14" s="557" t="s">
        <v>1274</v>
      </c>
      <c r="H14" s="557"/>
      <c r="I14" s="557"/>
      <c r="J14" s="557"/>
      <c r="K14" s="565" t="s">
        <v>1294</v>
      </c>
      <c r="L14" s="557"/>
      <c r="M14" s="557"/>
      <c r="N14" s="558"/>
      <c r="O14" s="557"/>
    </row>
    <row r="15" spans="1:16" s="287" customFormat="1" ht="105" hidden="1" x14ac:dyDescent="0.5">
      <c r="A15" s="190">
        <v>42</v>
      </c>
      <c r="B15" s="253" t="s">
        <v>1295</v>
      </c>
      <c r="F15" s="289"/>
      <c r="H15" s="289"/>
      <c r="I15" s="289"/>
      <c r="J15" s="289"/>
      <c r="K15" s="244" t="s">
        <v>1296</v>
      </c>
      <c r="L15" s="289"/>
      <c r="M15" s="289"/>
      <c r="N15" s="244"/>
      <c r="O15" s="289"/>
    </row>
    <row r="16" spans="1:16" s="287" customFormat="1" ht="315" hidden="1" x14ac:dyDescent="0.5">
      <c r="A16" s="60">
        <v>7</v>
      </c>
      <c r="B16" s="255" t="s">
        <v>360</v>
      </c>
      <c r="C16" s="378">
        <v>216170300</v>
      </c>
      <c r="D16" s="341"/>
      <c r="E16" s="494" t="s">
        <v>1297</v>
      </c>
      <c r="F16" s="294" t="s">
        <v>762</v>
      </c>
      <c r="G16" s="341"/>
      <c r="H16" s="294"/>
      <c r="I16" s="97" t="s">
        <v>1298</v>
      </c>
      <c r="J16" s="294"/>
      <c r="K16" s="97" t="s">
        <v>1299</v>
      </c>
      <c r="L16" s="294"/>
      <c r="M16" s="294"/>
      <c r="N16" s="97"/>
      <c r="O16" s="294"/>
    </row>
    <row r="17" spans="1:15" s="367" customFormat="1" ht="105" hidden="1" x14ac:dyDescent="0.5">
      <c r="A17" s="363">
        <v>30</v>
      </c>
      <c r="B17" s="364" t="s">
        <v>1300</v>
      </c>
      <c r="C17" s="365">
        <v>8196840000</v>
      </c>
      <c r="D17" s="368" t="s">
        <v>1301</v>
      </c>
      <c r="E17" s="367" t="s">
        <v>1284</v>
      </c>
      <c r="F17" s="368"/>
      <c r="H17" s="368"/>
      <c r="I17" s="368"/>
      <c r="J17" s="368"/>
      <c r="L17" s="368"/>
      <c r="M17" s="368"/>
      <c r="N17" s="369"/>
      <c r="O17" s="368"/>
    </row>
    <row r="18" spans="1:15" s="392" customFormat="1" ht="84" x14ac:dyDescent="0.5">
      <c r="A18" s="170">
        <v>41</v>
      </c>
      <c r="B18" s="556" t="s">
        <v>1302</v>
      </c>
      <c r="C18" s="559">
        <v>8221900000</v>
      </c>
      <c r="F18" s="557" t="s">
        <v>1274</v>
      </c>
      <c r="H18" s="557"/>
      <c r="I18" s="557"/>
      <c r="J18" s="557"/>
      <c r="K18" s="558" t="s">
        <v>1303</v>
      </c>
      <c r="L18" s="557"/>
      <c r="M18" s="557"/>
      <c r="N18" s="558"/>
      <c r="O18" s="557"/>
    </row>
    <row r="19" spans="1:15" s="372" customFormat="1" ht="84" hidden="1" x14ac:dyDescent="0.5">
      <c r="A19" s="387">
        <v>43</v>
      </c>
      <c r="B19" s="388" t="s">
        <v>1304</v>
      </c>
      <c r="C19" s="513">
        <v>9936220500</v>
      </c>
      <c r="F19" s="389"/>
      <c r="H19" s="389"/>
      <c r="I19" s="389"/>
      <c r="J19" s="389"/>
      <c r="K19" s="390" t="s">
        <v>1305</v>
      </c>
      <c r="L19" s="389"/>
      <c r="M19" s="389"/>
      <c r="N19" s="390"/>
      <c r="O19" s="389"/>
    </row>
    <row r="20" spans="1:15" s="287" customFormat="1" ht="126" hidden="1" x14ac:dyDescent="0.5">
      <c r="A20" s="190">
        <v>46</v>
      </c>
      <c r="B20" s="253" t="s">
        <v>1203</v>
      </c>
      <c r="C20" s="386">
        <v>899987312</v>
      </c>
      <c r="F20" s="289" t="s">
        <v>1204</v>
      </c>
      <c r="H20" s="289"/>
      <c r="I20" s="289"/>
      <c r="J20" s="289"/>
      <c r="K20" s="244" t="s">
        <v>1306</v>
      </c>
      <c r="L20" s="289"/>
      <c r="M20" s="289"/>
      <c r="N20" s="244"/>
      <c r="O20" s="289"/>
    </row>
    <row r="21" spans="1:15" s="287" customFormat="1" ht="210" hidden="1" x14ac:dyDescent="0.5">
      <c r="A21" s="190">
        <v>48</v>
      </c>
      <c r="B21" s="253" t="s">
        <v>1307</v>
      </c>
      <c r="C21" s="386">
        <v>742329430</v>
      </c>
      <c r="F21" s="289" t="s">
        <v>271</v>
      </c>
      <c r="H21" s="289"/>
      <c r="I21" s="289"/>
      <c r="J21" s="289"/>
      <c r="K21" s="244" t="s">
        <v>1308</v>
      </c>
      <c r="L21" s="289"/>
      <c r="M21" s="289"/>
      <c r="N21" s="244"/>
      <c r="O21" s="289"/>
    </row>
    <row r="22" spans="1:15" s="287" customFormat="1" ht="147" hidden="1" x14ac:dyDescent="0.5">
      <c r="A22" s="190">
        <v>52</v>
      </c>
      <c r="B22" s="253" t="s">
        <v>1309</v>
      </c>
      <c r="C22" s="386">
        <v>1568027310</v>
      </c>
      <c r="F22" s="289" t="s">
        <v>1310</v>
      </c>
      <c r="H22" s="289"/>
      <c r="I22" s="289"/>
      <c r="J22" s="289"/>
      <c r="K22" s="244" t="s">
        <v>1311</v>
      </c>
      <c r="L22" s="289"/>
      <c r="M22" s="289"/>
      <c r="N22" s="244"/>
      <c r="O22" s="289"/>
    </row>
    <row r="23" spans="1:15" s="341" customFormat="1" ht="210" hidden="1" x14ac:dyDescent="0.5">
      <c r="A23" s="60">
        <v>24</v>
      </c>
      <c r="B23" s="255" t="s">
        <v>1312</v>
      </c>
      <c r="C23" s="378">
        <v>188511200</v>
      </c>
      <c r="F23" s="294" t="s">
        <v>1142</v>
      </c>
      <c r="H23" s="294"/>
      <c r="I23" s="97" t="s">
        <v>1247</v>
      </c>
      <c r="J23" s="294"/>
      <c r="K23" s="97" t="s">
        <v>1313</v>
      </c>
      <c r="L23" s="294"/>
      <c r="M23" s="294"/>
      <c r="N23" s="97"/>
      <c r="O23" s="294"/>
    </row>
    <row r="24" spans="1:15" s="341" customFormat="1" ht="63" hidden="1" x14ac:dyDescent="0.5">
      <c r="A24" s="60">
        <v>27</v>
      </c>
      <c r="B24" s="255" t="s">
        <v>1314</v>
      </c>
      <c r="C24" s="378">
        <v>2347495545</v>
      </c>
      <c r="F24" s="294" t="s">
        <v>111</v>
      </c>
      <c r="H24" s="294"/>
      <c r="I24" s="294"/>
      <c r="J24" s="294"/>
      <c r="K24" s="97" t="s">
        <v>1315</v>
      </c>
      <c r="L24" s="294"/>
      <c r="M24" s="294"/>
      <c r="N24" s="97"/>
      <c r="O24" s="294"/>
    </row>
    <row r="25" spans="1:15" s="341" customFormat="1" ht="126" hidden="1" x14ac:dyDescent="0.5">
      <c r="A25" s="60">
        <v>30</v>
      </c>
      <c r="B25" s="255" t="s">
        <v>1316</v>
      </c>
      <c r="F25" s="294" t="s">
        <v>1142</v>
      </c>
      <c r="H25" s="294"/>
      <c r="I25" s="294"/>
      <c r="J25" s="294"/>
      <c r="K25" s="97" t="s">
        <v>1317</v>
      </c>
      <c r="L25" s="294"/>
      <c r="M25" s="294"/>
      <c r="N25" s="97"/>
      <c r="O25" s="294"/>
    </row>
    <row r="26" spans="1:15" s="341" customFormat="1" ht="168" hidden="1" x14ac:dyDescent="0.5">
      <c r="A26" s="60">
        <v>33</v>
      </c>
      <c r="B26" s="255" t="s">
        <v>1318</v>
      </c>
      <c r="C26" s="378">
        <v>1530336855</v>
      </c>
      <c r="F26" s="294" t="s">
        <v>1319</v>
      </c>
      <c r="H26" s="294"/>
      <c r="I26" s="294"/>
      <c r="J26" s="294"/>
      <c r="K26" s="97" t="s">
        <v>1320</v>
      </c>
      <c r="L26" s="294"/>
      <c r="M26" s="294"/>
      <c r="N26" s="97"/>
      <c r="O26" s="294"/>
    </row>
    <row r="27" spans="1:15" s="341" customFormat="1" ht="147" hidden="1" x14ac:dyDescent="0.5">
      <c r="A27" s="60">
        <v>34</v>
      </c>
      <c r="B27" s="255" t="s">
        <v>1321</v>
      </c>
      <c r="C27" s="378">
        <v>224493100</v>
      </c>
      <c r="F27" s="294" t="s">
        <v>1277</v>
      </c>
      <c r="H27" s="294"/>
      <c r="I27" s="294"/>
      <c r="J27" s="294"/>
      <c r="K27" s="97" t="s">
        <v>1322</v>
      </c>
      <c r="L27" s="294"/>
      <c r="M27" s="294"/>
      <c r="N27" s="97"/>
      <c r="O27" s="294"/>
    </row>
    <row r="28" spans="1:15" s="341" customFormat="1" ht="273" hidden="1" x14ac:dyDescent="0.5">
      <c r="A28" s="60">
        <v>36</v>
      </c>
      <c r="B28" s="255" t="s">
        <v>1323</v>
      </c>
      <c r="C28" s="378">
        <v>1305633735</v>
      </c>
      <c r="F28" s="294" t="s">
        <v>271</v>
      </c>
      <c r="H28" s="294"/>
      <c r="I28" s="294"/>
      <c r="J28" s="294"/>
      <c r="K28" s="97" t="s">
        <v>1324</v>
      </c>
      <c r="L28" s="294"/>
      <c r="M28" s="294"/>
      <c r="N28" s="97"/>
      <c r="O28" s="294"/>
    </row>
    <row r="29" spans="1:15" s="341" customFormat="1" ht="147" hidden="1" x14ac:dyDescent="0.5">
      <c r="A29" s="60">
        <v>37</v>
      </c>
      <c r="B29" s="255" t="s">
        <v>1325</v>
      </c>
      <c r="C29" s="378">
        <v>282652500</v>
      </c>
      <c r="F29" s="294" t="s">
        <v>1326</v>
      </c>
      <c r="H29" s="294"/>
      <c r="I29" s="294"/>
      <c r="J29" s="294"/>
      <c r="K29" s="97" t="s">
        <v>1327</v>
      </c>
      <c r="L29" s="294"/>
      <c r="M29" s="294"/>
      <c r="N29" s="97"/>
      <c r="O29" s="294"/>
    </row>
    <row r="30" spans="1:15" s="341" customFormat="1" ht="168" hidden="1" x14ac:dyDescent="0.5">
      <c r="A30" s="60">
        <v>38</v>
      </c>
      <c r="B30" s="255" t="s">
        <v>1328</v>
      </c>
      <c r="C30" s="378">
        <v>2427276000</v>
      </c>
      <c r="F30" s="294" t="s">
        <v>1329</v>
      </c>
      <c r="H30" s="294"/>
      <c r="I30" s="294"/>
      <c r="J30" s="294"/>
      <c r="K30" s="97" t="s">
        <v>1330</v>
      </c>
      <c r="L30" s="294"/>
      <c r="M30" s="294"/>
      <c r="N30" s="97"/>
      <c r="O30" s="294"/>
    </row>
    <row r="31" spans="1:15" s="341" customFormat="1" ht="231" hidden="1" x14ac:dyDescent="0.5">
      <c r="A31" s="60">
        <v>39</v>
      </c>
      <c r="B31" s="255" t="s">
        <v>1331</v>
      </c>
      <c r="C31" s="378">
        <v>462321680</v>
      </c>
      <c r="F31" s="294" t="s">
        <v>271</v>
      </c>
      <c r="H31" s="294"/>
      <c r="I31" s="294"/>
      <c r="J31" s="294"/>
      <c r="K31" s="97" t="s">
        <v>1332</v>
      </c>
      <c r="L31" s="294"/>
      <c r="M31" s="294"/>
      <c r="N31" s="97"/>
      <c r="O31" s="294"/>
    </row>
    <row r="32" spans="1:15" s="341" customFormat="1" ht="126" hidden="1" x14ac:dyDescent="0.5">
      <c r="A32" s="60">
        <v>42</v>
      </c>
      <c r="B32" s="255" t="s">
        <v>1333</v>
      </c>
      <c r="F32" s="294" t="s">
        <v>164</v>
      </c>
      <c r="H32" s="294"/>
      <c r="I32" s="294"/>
      <c r="J32" s="294"/>
      <c r="K32" s="97" t="s">
        <v>1334</v>
      </c>
      <c r="L32" s="294"/>
      <c r="M32" s="294"/>
      <c r="N32" s="97"/>
      <c r="O32" s="294"/>
    </row>
    <row r="33" spans="1:16" s="341" customFormat="1" ht="84" hidden="1" x14ac:dyDescent="0.5">
      <c r="A33" s="60">
        <v>30</v>
      </c>
      <c r="B33" s="255" t="s">
        <v>122</v>
      </c>
      <c r="C33" s="443">
        <v>147385728</v>
      </c>
      <c r="F33" s="294" t="s">
        <v>164</v>
      </c>
      <c r="H33" s="294"/>
      <c r="I33" s="294"/>
      <c r="J33" s="294"/>
      <c r="K33" s="97" t="s">
        <v>1335</v>
      </c>
      <c r="L33" s="294"/>
      <c r="M33" s="294"/>
      <c r="N33" s="97"/>
      <c r="O33" s="294"/>
    </row>
    <row r="34" spans="1:16" s="287" customFormat="1" ht="126" hidden="1" x14ac:dyDescent="0.5">
      <c r="A34" s="190">
        <v>34</v>
      </c>
      <c r="B34" s="253" t="s">
        <v>1336</v>
      </c>
      <c r="F34" s="289"/>
      <c r="H34" s="289"/>
      <c r="I34" s="289"/>
      <c r="J34" s="289"/>
      <c r="K34" s="244" t="s">
        <v>1337</v>
      </c>
      <c r="L34" s="289"/>
      <c r="M34" s="289"/>
      <c r="N34" s="244"/>
      <c r="O34" s="289"/>
    </row>
    <row r="35" spans="1:16" s="367" customFormat="1" ht="105" hidden="1" x14ac:dyDescent="0.5">
      <c r="A35" s="363">
        <v>3</v>
      </c>
      <c r="B35" s="364" t="s">
        <v>1300</v>
      </c>
      <c r="C35" s="365">
        <v>8196840000</v>
      </c>
      <c r="F35" s="368"/>
      <c r="H35" s="368"/>
      <c r="I35" s="368"/>
      <c r="J35" s="368"/>
      <c r="K35" s="363" t="s">
        <v>1338</v>
      </c>
      <c r="L35" s="368"/>
      <c r="M35" s="368"/>
      <c r="N35" s="369"/>
      <c r="O35" s="368"/>
    </row>
    <row r="36" spans="1:16" s="341" customFormat="1" ht="63" hidden="1" x14ac:dyDescent="0.5">
      <c r="A36" s="60">
        <v>6</v>
      </c>
      <c r="B36" s="255" t="s">
        <v>1314</v>
      </c>
      <c r="C36" s="378">
        <v>2347495545</v>
      </c>
      <c r="F36" s="294" t="s">
        <v>111</v>
      </c>
      <c r="H36" s="294"/>
      <c r="I36" s="294"/>
      <c r="J36" s="294"/>
      <c r="K36" s="97"/>
      <c r="L36" s="294"/>
      <c r="M36" s="294"/>
      <c r="N36" s="97"/>
      <c r="O36" s="294"/>
    </row>
    <row r="37" spans="1:16" s="341" customFormat="1" ht="84" hidden="1" x14ac:dyDescent="0.5">
      <c r="A37" s="60">
        <v>27</v>
      </c>
      <c r="B37" s="255" t="s">
        <v>1339</v>
      </c>
      <c r="F37" s="294" t="s">
        <v>914</v>
      </c>
      <c r="H37" s="294"/>
      <c r="I37" s="294"/>
      <c r="J37" s="294"/>
      <c r="K37" s="97" t="s">
        <v>1340</v>
      </c>
      <c r="L37" s="294"/>
      <c r="M37" s="294"/>
      <c r="N37" s="97"/>
      <c r="O37" s="294"/>
    </row>
    <row r="38" spans="1:16" s="341" customFormat="1" ht="105" hidden="1" x14ac:dyDescent="0.5">
      <c r="A38" s="60">
        <v>31</v>
      </c>
      <c r="B38" s="255" t="s">
        <v>1341</v>
      </c>
      <c r="C38" s="362">
        <f>533902300+282800</f>
        <v>534185100</v>
      </c>
      <c r="F38" s="294" t="s">
        <v>1342</v>
      </c>
      <c r="H38" s="294" t="s">
        <v>1343</v>
      </c>
      <c r="I38" s="294"/>
      <c r="J38" s="294"/>
      <c r="K38" s="97" t="s">
        <v>1344</v>
      </c>
      <c r="L38" s="294"/>
      <c r="M38" s="294"/>
      <c r="N38" s="97"/>
      <c r="O38" s="294"/>
    </row>
    <row r="39" spans="1:16" s="393" customFormat="1" ht="84" x14ac:dyDescent="0.5">
      <c r="A39" s="56">
        <v>33</v>
      </c>
      <c r="B39" s="118" t="s">
        <v>1345</v>
      </c>
      <c r="C39" s="395">
        <v>360000000</v>
      </c>
      <c r="F39" s="394" t="s">
        <v>84</v>
      </c>
      <c r="H39" s="394"/>
      <c r="I39" s="394"/>
      <c r="J39" s="394"/>
      <c r="K39" s="563" t="s">
        <v>2221</v>
      </c>
      <c r="L39" s="394"/>
      <c r="M39" s="394"/>
      <c r="N39" s="57"/>
      <c r="O39" s="394"/>
    </row>
    <row r="40" spans="1:16" s="287" customFormat="1" ht="84" hidden="1" x14ac:dyDescent="0.5">
      <c r="A40" s="190">
        <v>36</v>
      </c>
      <c r="B40" s="253" t="s">
        <v>1347</v>
      </c>
      <c r="C40" s="379">
        <v>1600000000</v>
      </c>
      <c r="F40" s="289"/>
      <c r="H40" s="289"/>
      <c r="I40" s="289"/>
      <c r="J40" s="289"/>
      <c r="K40" s="244" t="s">
        <v>1348</v>
      </c>
      <c r="L40" s="289"/>
      <c r="M40" s="289"/>
      <c r="N40" s="244"/>
      <c r="O40" s="289"/>
    </row>
    <row r="41" spans="1:16" s="372" customFormat="1" ht="63" hidden="1" x14ac:dyDescent="0.5">
      <c r="A41" s="387">
        <v>9</v>
      </c>
      <c r="B41" s="388" t="s">
        <v>1349</v>
      </c>
      <c r="F41" s="389"/>
      <c r="H41" s="389"/>
      <c r="I41" s="389"/>
      <c r="J41" s="389"/>
      <c r="K41" s="390" t="s">
        <v>1350</v>
      </c>
      <c r="L41" s="389"/>
      <c r="M41" s="389"/>
      <c r="N41" s="390"/>
      <c r="O41" s="389"/>
    </row>
    <row r="42" spans="1:16" s="372" customFormat="1" ht="42" hidden="1" x14ac:dyDescent="0.5">
      <c r="A42" s="387">
        <v>10</v>
      </c>
      <c r="B42" s="388" t="s">
        <v>1351</v>
      </c>
      <c r="F42" s="389"/>
      <c r="H42" s="389"/>
      <c r="I42" s="389"/>
      <c r="J42" s="389"/>
      <c r="K42" s="390" t="s">
        <v>1350</v>
      </c>
      <c r="L42" s="389"/>
      <c r="M42" s="389"/>
      <c r="N42" s="390"/>
      <c r="O42" s="389"/>
    </row>
    <row r="43" spans="1:16" s="372" customFormat="1" ht="84" hidden="1" x14ac:dyDescent="0.5">
      <c r="A43" s="387">
        <v>11</v>
      </c>
      <c r="B43" s="388" t="s">
        <v>1352</v>
      </c>
      <c r="F43" s="389"/>
      <c r="H43" s="389"/>
      <c r="I43" s="389"/>
      <c r="J43" s="389"/>
      <c r="K43" s="390" t="s">
        <v>1350</v>
      </c>
      <c r="L43" s="389"/>
      <c r="M43" s="389"/>
      <c r="N43" s="390"/>
      <c r="O43" s="389"/>
    </row>
    <row r="44" spans="1:16" s="393" customFormat="1" ht="84" x14ac:dyDescent="0.5">
      <c r="A44" s="56">
        <v>2</v>
      </c>
      <c r="B44" s="118" t="s">
        <v>1347</v>
      </c>
      <c r="C44" s="395">
        <v>1600000000</v>
      </c>
      <c r="F44" s="394" t="s">
        <v>84</v>
      </c>
      <c r="H44" s="394"/>
      <c r="I44" s="394"/>
      <c r="J44" s="394"/>
      <c r="K44" s="563" t="s">
        <v>1353</v>
      </c>
      <c r="L44" s="394"/>
      <c r="M44" s="394"/>
      <c r="N44" s="57"/>
      <c r="O44" s="394"/>
    </row>
    <row r="45" spans="1:16" s="393" customFormat="1" ht="63" x14ac:dyDescent="0.5">
      <c r="A45" s="56">
        <v>8</v>
      </c>
      <c r="B45" s="118" t="s">
        <v>1354</v>
      </c>
      <c r="F45" s="66" t="s">
        <v>1355</v>
      </c>
      <c r="H45" s="394"/>
      <c r="I45" s="394"/>
      <c r="J45" s="394"/>
      <c r="K45" s="57" t="s">
        <v>1356</v>
      </c>
      <c r="L45" s="394"/>
      <c r="M45" s="394"/>
      <c r="N45" s="57"/>
      <c r="O45" s="394"/>
    </row>
    <row r="46" spans="1:16" s="287" customFormat="1" ht="63" hidden="1" x14ac:dyDescent="0.5">
      <c r="A46" s="190">
        <v>21</v>
      </c>
      <c r="B46" s="253" t="s">
        <v>1357</v>
      </c>
      <c r="F46" s="289" t="s">
        <v>1358</v>
      </c>
      <c r="H46" s="289"/>
      <c r="I46" s="289"/>
      <c r="J46" s="289"/>
      <c r="K46" s="244" t="s">
        <v>1359</v>
      </c>
      <c r="L46" s="289"/>
      <c r="M46" s="289"/>
      <c r="N46" s="244"/>
      <c r="O46" s="289"/>
    </row>
    <row r="47" spans="1:16" s="393" customFormat="1" ht="168.4" customHeight="1" x14ac:dyDescent="0.5">
      <c r="A47" s="56">
        <v>2</v>
      </c>
      <c r="B47" s="118" t="s">
        <v>1360</v>
      </c>
      <c r="C47" s="395">
        <v>2383339800</v>
      </c>
      <c r="D47" s="560" t="s">
        <v>1361</v>
      </c>
      <c r="F47" s="394" t="s">
        <v>84</v>
      </c>
      <c r="H47" s="394"/>
      <c r="I47" s="394"/>
      <c r="J47" s="394"/>
      <c r="K47" s="57" t="s">
        <v>1362</v>
      </c>
      <c r="L47" s="394"/>
      <c r="M47" s="394"/>
      <c r="N47" s="57"/>
      <c r="O47" s="394"/>
      <c r="P47" s="561"/>
    </row>
    <row r="48" spans="1:16" s="341" customFormat="1" ht="189" hidden="1" x14ac:dyDescent="0.5">
      <c r="A48" s="60">
        <v>8</v>
      </c>
      <c r="B48" s="255" t="s">
        <v>1360</v>
      </c>
      <c r="F48" s="294" t="s">
        <v>1363</v>
      </c>
      <c r="H48" s="294"/>
      <c r="I48" s="294"/>
      <c r="J48" s="294"/>
      <c r="K48" s="97" t="s">
        <v>1362</v>
      </c>
      <c r="L48" s="294"/>
      <c r="M48" s="294"/>
      <c r="N48" s="97"/>
      <c r="O48" s="294"/>
      <c r="P48" s="373"/>
    </row>
    <row r="49" spans="1:16" s="341" customFormat="1" ht="105" hidden="1" x14ac:dyDescent="0.5">
      <c r="A49" s="60">
        <v>11</v>
      </c>
      <c r="B49" s="255" t="s">
        <v>1364</v>
      </c>
      <c r="F49" s="294" t="s">
        <v>1365</v>
      </c>
      <c r="H49" s="294"/>
      <c r="I49" s="294"/>
      <c r="J49" s="294"/>
      <c r="K49" s="97" t="s">
        <v>1366</v>
      </c>
      <c r="L49" s="294"/>
      <c r="M49" s="294"/>
      <c r="N49" s="97"/>
      <c r="O49" s="294"/>
      <c r="P49" s="373"/>
    </row>
    <row r="50" spans="1:16" s="393" customFormat="1" ht="149.65" customHeight="1" x14ac:dyDescent="0.5">
      <c r="A50" s="56">
        <v>12</v>
      </c>
      <c r="B50" s="118" t="s">
        <v>1367</v>
      </c>
      <c r="C50" s="395">
        <v>1860002868</v>
      </c>
      <c r="F50" s="394" t="s">
        <v>113</v>
      </c>
      <c r="H50" s="394"/>
      <c r="I50" s="394"/>
      <c r="J50" s="394"/>
      <c r="K50" s="57" t="s">
        <v>2224</v>
      </c>
      <c r="L50" s="394"/>
      <c r="M50" s="394"/>
      <c r="N50" s="57"/>
      <c r="O50" s="394"/>
      <c r="P50" s="561"/>
    </row>
    <row r="51" spans="1:16" s="287" customFormat="1" ht="189" hidden="1" x14ac:dyDescent="0.5">
      <c r="A51" s="60">
        <v>17</v>
      </c>
      <c r="B51" s="255" t="s">
        <v>1369</v>
      </c>
      <c r="C51" s="378">
        <v>783511000</v>
      </c>
      <c r="D51" s="341"/>
      <c r="E51" s="341"/>
      <c r="F51" s="294" t="s">
        <v>969</v>
      </c>
      <c r="G51" s="341"/>
      <c r="H51" s="294"/>
      <c r="I51" s="294"/>
      <c r="J51" s="294"/>
      <c r="K51" s="97" t="s">
        <v>1370</v>
      </c>
      <c r="L51" s="294"/>
      <c r="M51" s="294"/>
      <c r="N51" s="97"/>
      <c r="O51" s="294"/>
    </row>
    <row r="52" spans="1:16" s="287" customFormat="1" ht="231" hidden="1" x14ac:dyDescent="0.5">
      <c r="A52" s="60">
        <v>5</v>
      </c>
      <c r="B52" s="255" t="s">
        <v>1371</v>
      </c>
      <c r="C52" s="362">
        <v>2060883500</v>
      </c>
      <c r="D52" s="550"/>
      <c r="E52" s="341"/>
      <c r="F52" s="294" t="s">
        <v>1372</v>
      </c>
      <c r="G52" s="341"/>
      <c r="H52" s="294"/>
      <c r="I52" s="294"/>
      <c r="J52" s="294"/>
      <c r="K52" s="97" t="s">
        <v>1373</v>
      </c>
      <c r="L52" s="294"/>
      <c r="M52" s="294"/>
      <c r="N52" s="97"/>
      <c r="O52" s="294"/>
    </row>
    <row r="53" spans="1:16" s="287" customFormat="1" ht="147" hidden="1" x14ac:dyDescent="0.5">
      <c r="A53" s="60">
        <v>11</v>
      </c>
      <c r="B53" s="255" t="s">
        <v>1374</v>
      </c>
      <c r="C53" s="378">
        <v>14886000</v>
      </c>
      <c r="D53" s="341"/>
      <c r="E53" s="341"/>
      <c r="F53" s="294" t="s">
        <v>1375</v>
      </c>
      <c r="G53" s="341"/>
      <c r="H53" s="294"/>
      <c r="I53" s="294"/>
      <c r="J53" s="294"/>
      <c r="K53" s="97" t="s">
        <v>1376</v>
      </c>
      <c r="L53" s="294"/>
      <c r="M53" s="294"/>
      <c r="N53" s="97"/>
      <c r="O53" s="294"/>
    </row>
    <row r="54" spans="1:16" s="287" customFormat="1" ht="147" hidden="1" x14ac:dyDescent="0.5">
      <c r="A54" s="60">
        <v>12</v>
      </c>
      <c r="B54" s="255" t="s">
        <v>1377</v>
      </c>
      <c r="C54" s="378">
        <v>14886000</v>
      </c>
      <c r="D54" s="341"/>
      <c r="E54" s="341"/>
      <c r="F54" s="294" t="s">
        <v>1378</v>
      </c>
      <c r="G54" s="341"/>
      <c r="H54" s="294"/>
      <c r="I54" s="294"/>
      <c r="J54" s="294"/>
      <c r="K54" s="97" t="s">
        <v>1379</v>
      </c>
      <c r="L54" s="294"/>
      <c r="M54" s="294"/>
      <c r="N54" s="97"/>
      <c r="O54" s="294"/>
    </row>
    <row r="55" spans="1:16" s="287" customFormat="1" ht="105" hidden="1" x14ac:dyDescent="0.5">
      <c r="A55" s="60">
        <v>14</v>
      </c>
      <c r="B55" s="255" t="s">
        <v>1380</v>
      </c>
      <c r="C55" s="443">
        <v>254500060</v>
      </c>
      <c r="D55" s="341"/>
      <c r="E55" s="341"/>
      <c r="F55" s="294" t="s">
        <v>1381</v>
      </c>
      <c r="G55" s="341"/>
      <c r="H55" s="294"/>
      <c r="I55" s="294"/>
      <c r="J55" s="294"/>
      <c r="K55" s="97" t="s">
        <v>1382</v>
      </c>
      <c r="L55" s="294"/>
      <c r="M55" s="294"/>
      <c r="N55" s="97"/>
      <c r="O55" s="294"/>
    </row>
    <row r="56" spans="1:16" s="287" customFormat="1" ht="105" hidden="1" x14ac:dyDescent="0.5">
      <c r="A56" s="60">
        <v>16</v>
      </c>
      <c r="B56" s="255" t="s">
        <v>1383</v>
      </c>
      <c r="C56" s="341"/>
      <c r="D56" s="341"/>
      <c r="E56" s="341"/>
      <c r="F56" s="294" t="s">
        <v>914</v>
      </c>
      <c r="G56" s="341"/>
      <c r="H56" s="294"/>
      <c r="I56" s="294"/>
      <c r="J56" s="294"/>
      <c r="K56" s="97" t="s">
        <v>1384</v>
      </c>
      <c r="L56" s="294"/>
      <c r="M56" s="294"/>
      <c r="N56" s="97"/>
      <c r="O56" s="294"/>
    </row>
    <row r="57" spans="1:16" s="287" customFormat="1" ht="168" hidden="1" x14ac:dyDescent="0.5">
      <c r="A57" s="60">
        <v>27</v>
      </c>
      <c r="B57" s="255" t="s">
        <v>1385</v>
      </c>
      <c r="C57" s="362">
        <f>D57*3%</f>
        <v>178772223</v>
      </c>
      <c r="D57" s="362">
        <v>5959074100</v>
      </c>
      <c r="E57" s="341"/>
      <c r="F57" s="294" t="s">
        <v>1386</v>
      </c>
      <c r="G57" s="341"/>
      <c r="H57" s="294"/>
      <c r="I57" s="294"/>
      <c r="J57" s="294"/>
      <c r="K57" s="97" t="s">
        <v>1387</v>
      </c>
      <c r="L57" s="294"/>
      <c r="M57" s="294"/>
      <c r="N57" s="97"/>
      <c r="O57" s="294"/>
    </row>
    <row r="58" spans="1:16" s="287" customFormat="1" ht="63" hidden="1" x14ac:dyDescent="0.5">
      <c r="A58" s="60">
        <v>41</v>
      </c>
      <c r="B58" s="255" t="s">
        <v>1388</v>
      </c>
      <c r="C58" s="362">
        <f>D58*3%</f>
        <v>107536908.92999999</v>
      </c>
      <c r="D58" s="362">
        <v>3584563631</v>
      </c>
      <c r="E58" s="341"/>
      <c r="F58" s="294" t="s">
        <v>1389</v>
      </c>
      <c r="G58" s="341"/>
      <c r="H58" s="294"/>
      <c r="I58" s="294"/>
      <c r="J58" s="294"/>
      <c r="K58" s="97" t="s">
        <v>1390</v>
      </c>
      <c r="L58" s="294"/>
      <c r="M58" s="294"/>
      <c r="N58" s="97"/>
      <c r="O58" s="294"/>
    </row>
    <row r="59" spans="1:16" s="287" customFormat="1" ht="210" hidden="1" x14ac:dyDescent="0.5">
      <c r="A59" s="60">
        <v>42</v>
      </c>
      <c r="B59" s="255" t="s">
        <v>1391</v>
      </c>
      <c r="C59" s="362">
        <f>D59*3%</f>
        <v>34227150</v>
      </c>
      <c r="D59" s="362">
        <v>1140905000</v>
      </c>
      <c r="E59" s="341"/>
      <c r="F59" s="294" t="s">
        <v>1389</v>
      </c>
      <c r="G59" s="341"/>
      <c r="H59" s="294"/>
      <c r="I59" s="294"/>
      <c r="J59" s="294"/>
      <c r="K59" s="97" t="s">
        <v>1392</v>
      </c>
      <c r="L59" s="294"/>
      <c r="M59" s="294"/>
      <c r="N59" s="97"/>
      <c r="O59" s="294"/>
    </row>
    <row r="60" spans="1:16" s="341" customFormat="1" ht="147" hidden="1" x14ac:dyDescent="0.5">
      <c r="A60" s="60">
        <v>30</v>
      </c>
      <c r="B60" s="255" t="s">
        <v>1393</v>
      </c>
      <c r="C60" s="378">
        <v>952549600</v>
      </c>
      <c r="F60" s="294" t="s">
        <v>1394</v>
      </c>
      <c r="H60" s="294"/>
      <c r="I60" s="294"/>
      <c r="J60" s="294"/>
      <c r="K60" s="514" t="s">
        <v>1395</v>
      </c>
      <c r="L60" s="294"/>
      <c r="M60" s="294"/>
      <c r="N60" s="97"/>
      <c r="O60" s="294"/>
      <c r="P60" s="373"/>
    </row>
    <row r="61" spans="1:16" s="287" customFormat="1" ht="315" hidden="1" x14ac:dyDescent="0.5">
      <c r="A61" s="60">
        <v>36</v>
      </c>
      <c r="B61" s="255" t="s">
        <v>1396</v>
      </c>
      <c r="C61" s="362">
        <v>1189961080</v>
      </c>
      <c r="D61" s="362"/>
      <c r="E61" s="341"/>
      <c r="F61" s="61" t="s">
        <v>1397</v>
      </c>
      <c r="G61" s="341"/>
      <c r="H61" s="294"/>
      <c r="I61" s="294"/>
      <c r="J61" s="294"/>
      <c r="K61" s="97" t="s">
        <v>1398</v>
      </c>
      <c r="L61" s="294"/>
      <c r="M61" s="294"/>
      <c r="N61" s="97"/>
      <c r="O61" s="294"/>
    </row>
    <row r="62" spans="1:16" s="287" customFormat="1" ht="231" hidden="1" x14ac:dyDescent="0.5">
      <c r="A62" s="60">
        <v>38</v>
      </c>
      <c r="B62" s="255" t="s">
        <v>1399</v>
      </c>
      <c r="C62" s="517">
        <f>D62*3%</f>
        <v>12350910</v>
      </c>
      <c r="D62" s="362">
        <v>411697000</v>
      </c>
      <c r="E62" s="341"/>
      <c r="F62" s="294" t="s">
        <v>1400</v>
      </c>
      <c r="G62" s="341"/>
      <c r="H62" s="294"/>
      <c r="I62" s="294"/>
      <c r="J62" s="294"/>
      <c r="K62" s="97" t="s">
        <v>1401</v>
      </c>
      <c r="L62" s="294"/>
      <c r="M62" s="294"/>
      <c r="N62" s="97"/>
      <c r="O62" s="294"/>
    </row>
    <row r="63" spans="1:16" s="341" customFormat="1" ht="210" hidden="1" x14ac:dyDescent="0.5">
      <c r="A63" s="60">
        <v>45</v>
      </c>
      <c r="B63" s="255" t="s">
        <v>1402</v>
      </c>
      <c r="C63" s="522">
        <v>51883500</v>
      </c>
      <c r="F63" s="294" t="s">
        <v>123</v>
      </c>
      <c r="H63" s="294"/>
      <c r="I63" s="294"/>
      <c r="J63" s="294"/>
      <c r="K63" s="97" t="s">
        <v>1403</v>
      </c>
      <c r="L63" s="294"/>
      <c r="M63" s="294"/>
      <c r="N63" s="97"/>
      <c r="O63" s="294"/>
    </row>
    <row r="64" spans="1:16" s="341" customFormat="1" ht="105" hidden="1" x14ac:dyDescent="0.5">
      <c r="A64" s="60">
        <v>43</v>
      </c>
      <c r="B64" s="255" t="s">
        <v>1404</v>
      </c>
      <c r="C64" s="378">
        <v>56313000</v>
      </c>
      <c r="F64" s="294" t="s">
        <v>1405</v>
      </c>
      <c r="H64" s="294"/>
      <c r="I64" s="294"/>
      <c r="J64" s="294"/>
      <c r="K64" s="97" t="s">
        <v>1406</v>
      </c>
      <c r="L64" s="294"/>
      <c r="M64" s="294"/>
      <c r="N64" s="97"/>
      <c r="O64" s="294"/>
    </row>
    <row r="65" spans="1:15" s="341" customFormat="1" ht="105" hidden="1" x14ac:dyDescent="0.5">
      <c r="A65" s="60">
        <v>44</v>
      </c>
      <c r="B65" s="255" t="s">
        <v>1407</v>
      </c>
      <c r="C65" s="378">
        <v>56313000</v>
      </c>
      <c r="F65" s="294" t="s">
        <v>1405</v>
      </c>
      <c r="H65" s="294"/>
      <c r="I65" s="294"/>
      <c r="J65" s="294"/>
      <c r="K65" s="97" t="s">
        <v>1406</v>
      </c>
      <c r="L65" s="294"/>
      <c r="M65" s="294"/>
      <c r="N65" s="97"/>
      <c r="O65" s="294"/>
    </row>
    <row r="66" spans="1:15" s="341" customFormat="1" ht="84" hidden="1" x14ac:dyDescent="0.5">
      <c r="A66" s="60">
        <v>45</v>
      </c>
      <c r="B66" s="255" t="s">
        <v>1408</v>
      </c>
      <c r="C66" s="362">
        <v>35064000</v>
      </c>
      <c r="F66" s="294" t="s">
        <v>1409</v>
      </c>
      <c r="H66" s="294"/>
      <c r="I66" s="294"/>
      <c r="J66" s="294"/>
      <c r="K66" s="97" t="s">
        <v>1410</v>
      </c>
      <c r="L66" s="294"/>
      <c r="M66" s="294"/>
      <c r="N66" s="97"/>
      <c r="O66" s="294"/>
    </row>
    <row r="67" spans="1:15" s="392" customFormat="1" ht="93" customHeight="1" x14ac:dyDescent="0.5">
      <c r="A67" s="56">
        <v>50</v>
      </c>
      <c r="B67" s="556" t="s">
        <v>1411</v>
      </c>
      <c r="F67" s="557" t="s">
        <v>113</v>
      </c>
      <c r="H67" s="557"/>
      <c r="I67" s="557"/>
      <c r="J67" s="557"/>
      <c r="K67" s="564" t="s">
        <v>2222</v>
      </c>
      <c r="L67" s="557"/>
      <c r="M67" s="557"/>
      <c r="N67" s="558"/>
      <c r="O67" s="557"/>
    </row>
    <row r="68" spans="1:15" s="287" customFormat="1" ht="84" hidden="1" x14ac:dyDescent="0.5">
      <c r="A68" s="60">
        <v>58</v>
      </c>
      <c r="B68" s="253" t="s">
        <v>1413</v>
      </c>
      <c r="F68" s="289" t="s">
        <v>1414</v>
      </c>
      <c r="H68" s="289"/>
      <c r="I68" s="289"/>
      <c r="J68" s="289"/>
      <c r="K68" s="244" t="s">
        <v>1415</v>
      </c>
      <c r="L68" s="289"/>
      <c r="M68" s="289"/>
      <c r="N68" s="244"/>
      <c r="O68" s="289"/>
    </row>
    <row r="69" spans="1:15" s="287" customFormat="1" ht="105" hidden="1" x14ac:dyDescent="0.5">
      <c r="A69" s="60">
        <v>54</v>
      </c>
      <c r="B69" s="253" t="s">
        <v>1416</v>
      </c>
      <c r="F69" s="289" t="s">
        <v>1414</v>
      </c>
      <c r="H69" s="289"/>
      <c r="I69" s="289"/>
      <c r="J69" s="289"/>
      <c r="K69" s="244" t="s">
        <v>1417</v>
      </c>
      <c r="L69" s="289"/>
      <c r="M69" s="289"/>
      <c r="N69" s="244"/>
      <c r="O69" s="289"/>
    </row>
    <row r="70" spans="1:15" s="287" customFormat="1" ht="126" hidden="1" x14ac:dyDescent="0.5">
      <c r="A70" s="60">
        <v>59</v>
      </c>
      <c r="B70" s="253" t="s">
        <v>1418</v>
      </c>
      <c r="F70" s="289" t="s">
        <v>1277</v>
      </c>
      <c r="H70" s="289"/>
      <c r="I70" s="289"/>
      <c r="J70" s="289"/>
      <c r="K70" s="244" t="s">
        <v>1419</v>
      </c>
      <c r="L70" s="289"/>
      <c r="M70" s="289"/>
      <c r="N70" s="244"/>
      <c r="O70" s="289"/>
    </row>
    <row r="71" spans="1:15" s="398" customFormat="1" ht="168" hidden="1" x14ac:dyDescent="0.5">
      <c r="A71" s="60">
        <v>26</v>
      </c>
      <c r="B71" s="518" t="s">
        <v>1420</v>
      </c>
      <c r="C71" s="519">
        <v>537119600</v>
      </c>
      <c r="D71" s="520"/>
      <c r="E71" s="520"/>
      <c r="F71" s="521" t="s">
        <v>130</v>
      </c>
      <c r="G71" s="520"/>
      <c r="H71" s="521"/>
      <c r="I71" s="521"/>
      <c r="J71" s="521"/>
      <c r="K71" s="397" t="s">
        <v>1421</v>
      </c>
      <c r="L71" s="521"/>
      <c r="M71" s="521"/>
      <c r="N71" s="397"/>
      <c r="O71" s="521"/>
    </row>
    <row r="72" spans="1:15" s="287" customFormat="1" ht="147" hidden="1" x14ac:dyDescent="0.5">
      <c r="A72" s="60">
        <v>61</v>
      </c>
      <c r="B72" s="255" t="s">
        <v>1422</v>
      </c>
      <c r="C72" s="341"/>
      <c r="D72" s="341"/>
      <c r="E72" s="341"/>
      <c r="F72" s="294" t="s">
        <v>1277</v>
      </c>
      <c r="G72" s="341"/>
      <c r="H72" s="294"/>
      <c r="I72" s="294"/>
      <c r="J72" s="294"/>
      <c r="K72" s="97" t="s">
        <v>1423</v>
      </c>
      <c r="L72" s="294"/>
      <c r="M72" s="294"/>
      <c r="N72" s="97"/>
      <c r="O72" s="294"/>
    </row>
    <row r="73" spans="1:15" s="287" customFormat="1" ht="63" hidden="1" x14ac:dyDescent="0.5">
      <c r="A73" s="60">
        <v>59</v>
      </c>
      <c r="B73" s="255" t="s">
        <v>1424</v>
      </c>
      <c r="C73" s="378">
        <v>7437497212</v>
      </c>
      <c r="D73" s="341" t="s">
        <v>1425</v>
      </c>
      <c r="E73" s="341"/>
      <c r="F73" s="294" t="s">
        <v>1426</v>
      </c>
      <c r="G73" s="341"/>
      <c r="H73" s="294"/>
      <c r="I73" s="294"/>
      <c r="J73" s="294"/>
      <c r="K73" s="97" t="s">
        <v>1427</v>
      </c>
      <c r="L73" s="294"/>
      <c r="M73" s="294"/>
      <c r="N73" s="97"/>
      <c r="O73" s="294"/>
    </row>
    <row r="74" spans="1:15" s="341" customFormat="1" ht="336" hidden="1" x14ac:dyDescent="0.5">
      <c r="A74" s="60">
        <v>9</v>
      </c>
      <c r="B74" s="255" t="s">
        <v>1428</v>
      </c>
      <c r="C74" s="375">
        <v>1282500</v>
      </c>
      <c r="D74" s="60" t="s">
        <v>1429</v>
      </c>
      <c r="F74" s="61" t="s">
        <v>914</v>
      </c>
      <c r="H74" s="294"/>
      <c r="I74" s="294"/>
      <c r="J74" s="294"/>
      <c r="K74" s="97" t="s">
        <v>1430</v>
      </c>
      <c r="L74" s="294"/>
      <c r="M74" s="294"/>
      <c r="N74" s="97"/>
      <c r="O74" s="294"/>
    </row>
    <row r="75" spans="1:15" s="287" customFormat="1" ht="231" hidden="1" x14ac:dyDescent="0.5">
      <c r="A75" s="60">
        <v>48</v>
      </c>
      <c r="B75" s="255" t="s">
        <v>1431</v>
      </c>
      <c r="C75" s="378">
        <v>10803335970</v>
      </c>
      <c r="D75" s="341"/>
      <c r="E75" s="341"/>
      <c r="F75" s="294" t="s">
        <v>1432</v>
      </c>
      <c r="G75" s="341"/>
      <c r="H75" s="294"/>
      <c r="I75" s="294"/>
      <c r="J75" s="294"/>
      <c r="K75" s="97" t="s">
        <v>1433</v>
      </c>
      <c r="L75" s="294"/>
      <c r="M75" s="294"/>
      <c r="N75" s="97"/>
      <c r="O75" s="294"/>
    </row>
    <row r="76" spans="1:15" s="341" customFormat="1" ht="63" hidden="1" x14ac:dyDescent="0.5">
      <c r="A76" s="60">
        <v>44</v>
      </c>
      <c r="B76" s="255" t="s">
        <v>1434</v>
      </c>
      <c r="C76" s="516">
        <v>233470076</v>
      </c>
      <c r="F76" s="294" t="s">
        <v>1435</v>
      </c>
      <c r="H76" s="294"/>
      <c r="I76" s="294"/>
      <c r="J76" s="294"/>
      <c r="K76" s="97" t="s">
        <v>1436</v>
      </c>
      <c r="L76" s="294"/>
      <c r="M76" s="294"/>
      <c r="N76" s="97"/>
      <c r="O76" s="294"/>
    </row>
    <row r="77" spans="1:15" s="341" customFormat="1" ht="63" hidden="1" x14ac:dyDescent="0.5">
      <c r="A77" s="60">
        <v>45</v>
      </c>
      <c r="B77" s="255" t="s">
        <v>1437</v>
      </c>
      <c r="C77" s="362">
        <f>195102800+160041200</f>
        <v>355144000</v>
      </c>
      <c r="F77" s="294" t="s">
        <v>1438</v>
      </c>
      <c r="H77" s="294"/>
      <c r="I77" s="294"/>
      <c r="J77" s="294"/>
      <c r="K77" s="97" t="s">
        <v>1439</v>
      </c>
      <c r="L77" s="294"/>
      <c r="M77" s="294"/>
      <c r="N77" s="97"/>
      <c r="O77" s="294"/>
    </row>
    <row r="78" spans="1:15" s="287" customFormat="1" ht="84" hidden="1" x14ac:dyDescent="0.5">
      <c r="A78" s="60">
        <v>50</v>
      </c>
      <c r="B78" s="255" t="s">
        <v>1440</v>
      </c>
      <c r="C78" s="378">
        <v>4569600</v>
      </c>
      <c r="D78" s="341"/>
      <c r="E78" s="341"/>
      <c r="F78" s="294" t="s">
        <v>1432</v>
      </c>
      <c r="G78" s="341"/>
      <c r="H78" s="294"/>
      <c r="I78" s="294"/>
      <c r="J78" s="294"/>
      <c r="K78" s="97" t="s">
        <v>1441</v>
      </c>
      <c r="L78" s="294"/>
      <c r="M78" s="294"/>
      <c r="N78" s="97"/>
      <c r="O78" s="294"/>
    </row>
    <row r="79" spans="1:15" s="287" customFormat="1" ht="126" hidden="1" x14ac:dyDescent="0.5">
      <c r="A79" s="60">
        <v>37</v>
      </c>
      <c r="B79" s="255" t="s">
        <v>1442</v>
      </c>
      <c r="C79" s="362">
        <f>668364920+1350888251</f>
        <v>2019253171</v>
      </c>
      <c r="D79" s="341"/>
      <c r="E79" s="341"/>
      <c r="F79" s="294" t="s">
        <v>109</v>
      </c>
      <c r="G79" s="341"/>
      <c r="H79" s="294"/>
      <c r="I79" s="294"/>
      <c r="J79" s="294"/>
      <c r="K79" s="97" t="s">
        <v>1443</v>
      </c>
      <c r="L79" s="294"/>
      <c r="M79" s="294"/>
      <c r="N79" s="97"/>
      <c r="O79" s="294"/>
    </row>
    <row r="80" spans="1:15" s="287" customFormat="1" ht="126" hidden="1" x14ac:dyDescent="0.5">
      <c r="A80" s="60">
        <v>52</v>
      </c>
      <c r="B80" s="255" t="s">
        <v>1444</v>
      </c>
      <c r="C80" s="378">
        <v>260531600</v>
      </c>
      <c r="D80" s="341"/>
      <c r="E80" s="341"/>
      <c r="F80" s="294" t="s">
        <v>1445</v>
      </c>
      <c r="G80" s="341"/>
      <c r="H80" s="294"/>
      <c r="I80" s="294"/>
      <c r="J80" s="294"/>
      <c r="K80" s="97" t="s">
        <v>1446</v>
      </c>
      <c r="L80" s="294"/>
      <c r="M80" s="294"/>
      <c r="N80" s="97"/>
      <c r="O80" s="294"/>
    </row>
    <row r="81" spans="1:16" s="287" customFormat="1" ht="273" hidden="1" x14ac:dyDescent="0.5">
      <c r="A81" s="60">
        <v>53</v>
      </c>
      <c r="B81" s="255" t="s">
        <v>1447</v>
      </c>
      <c r="C81" s="378">
        <v>1655790500</v>
      </c>
      <c r="D81" s="341"/>
      <c r="E81" s="341"/>
      <c r="F81" s="294" t="s">
        <v>1448</v>
      </c>
      <c r="G81" s="341"/>
      <c r="H81" s="294"/>
      <c r="I81" s="294"/>
      <c r="J81" s="294"/>
      <c r="K81" s="97" t="s">
        <v>1449</v>
      </c>
      <c r="L81" s="294"/>
      <c r="M81" s="294"/>
      <c r="N81" s="97"/>
      <c r="O81" s="294"/>
    </row>
    <row r="82" spans="1:16" s="287" customFormat="1" ht="126" hidden="1" x14ac:dyDescent="0.5">
      <c r="A82" s="60">
        <v>57</v>
      </c>
      <c r="B82" s="255" t="s">
        <v>1450</v>
      </c>
      <c r="C82" s="378">
        <v>101208000</v>
      </c>
      <c r="D82" s="341"/>
      <c r="E82" s="341"/>
      <c r="F82" s="294" t="s">
        <v>1451</v>
      </c>
      <c r="G82" s="341"/>
      <c r="H82" s="294"/>
      <c r="I82" s="294"/>
      <c r="J82" s="294"/>
      <c r="K82" s="97" t="s">
        <v>1452</v>
      </c>
      <c r="L82" s="294"/>
      <c r="M82" s="294"/>
      <c r="N82" s="97"/>
      <c r="O82" s="294"/>
    </row>
    <row r="83" spans="1:16" s="287" customFormat="1" ht="63" hidden="1" x14ac:dyDescent="0.5">
      <c r="A83" s="60">
        <v>58</v>
      </c>
      <c r="B83" s="255" t="s">
        <v>1453</v>
      </c>
      <c r="C83" s="362">
        <v>8910000</v>
      </c>
      <c r="D83" s="341"/>
      <c r="E83" s="341"/>
      <c r="F83" s="294" t="s">
        <v>1454</v>
      </c>
      <c r="G83" s="341"/>
      <c r="H83" s="294"/>
      <c r="I83" s="294"/>
      <c r="J83" s="294"/>
      <c r="K83" s="97" t="s">
        <v>1455</v>
      </c>
      <c r="L83" s="294"/>
      <c r="M83" s="294"/>
      <c r="N83" s="97"/>
      <c r="O83" s="294"/>
    </row>
    <row r="84" spans="1:16" s="287" customFormat="1" ht="63" hidden="1" x14ac:dyDescent="0.5">
      <c r="A84" s="60">
        <v>77</v>
      </c>
      <c r="B84" s="255" t="s">
        <v>1456</v>
      </c>
      <c r="C84" s="362">
        <f>500*317000</f>
        <v>158500000</v>
      </c>
      <c r="D84" s="341"/>
      <c r="E84" s="341"/>
      <c r="F84" s="294" t="s">
        <v>1457</v>
      </c>
      <c r="G84" s="341"/>
      <c r="H84" s="294"/>
      <c r="I84" s="294"/>
      <c r="J84" s="294"/>
      <c r="K84" s="97" t="s">
        <v>1458</v>
      </c>
      <c r="L84" s="294"/>
      <c r="M84" s="294"/>
      <c r="N84" s="97"/>
      <c r="O84" s="294"/>
    </row>
    <row r="85" spans="1:16" s="341" customFormat="1" ht="231" hidden="1" x14ac:dyDescent="0.5">
      <c r="A85" s="60">
        <v>16</v>
      </c>
      <c r="B85" s="255" t="s">
        <v>1459</v>
      </c>
      <c r="C85" s="362">
        <f>663541600+856087624</f>
        <v>1519629224</v>
      </c>
      <c r="F85" s="294" t="s">
        <v>1460</v>
      </c>
      <c r="H85" s="294"/>
      <c r="I85" s="294"/>
      <c r="J85" s="294"/>
      <c r="K85" s="97" t="s">
        <v>1461</v>
      </c>
      <c r="L85" s="294"/>
      <c r="M85" s="294"/>
      <c r="N85" s="97"/>
      <c r="O85" s="294"/>
    </row>
    <row r="86" spans="1:16" s="341" customFormat="1" ht="126" hidden="1" x14ac:dyDescent="0.5">
      <c r="A86" s="60">
        <v>20</v>
      </c>
      <c r="B86" s="255" t="s">
        <v>1462</v>
      </c>
      <c r="C86" s="378">
        <v>399968000</v>
      </c>
      <c r="F86" s="61" t="s">
        <v>1463</v>
      </c>
      <c r="H86" s="294"/>
      <c r="I86" s="294"/>
      <c r="J86" s="294"/>
      <c r="K86" s="514" t="s">
        <v>1464</v>
      </c>
      <c r="L86" s="294"/>
      <c r="M86" s="294"/>
      <c r="N86" s="97"/>
      <c r="O86" s="294"/>
      <c r="P86" s="373"/>
    </row>
    <row r="87" spans="1:16" s="287" customFormat="1" ht="105" hidden="1" x14ac:dyDescent="0.5">
      <c r="A87" s="60" t="e">
        <f>'Done 2019 - 2025'!#REF!+1</f>
        <v>#REF!</v>
      </c>
      <c r="B87" s="255" t="s">
        <v>1465</v>
      </c>
      <c r="C87" s="378">
        <v>11949000</v>
      </c>
      <c r="D87" s="341"/>
      <c r="E87" s="341"/>
      <c r="F87" s="294" t="s">
        <v>1466</v>
      </c>
      <c r="G87" s="341"/>
      <c r="H87" s="294"/>
      <c r="I87" s="294"/>
      <c r="J87" s="294"/>
      <c r="K87" s="97" t="s">
        <v>1467</v>
      </c>
      <c r="L87" s="294"/>
      <c r="M87" s="294"/>
      <c r="N87" s="97"/>
      <c r="O87" s="294"/>
    </row>
    <row r="88" spans="1:16" s="287" customFormat="1" ht="84" hidden="1" x14ac:dyDescent="0.5">
      <c r="A88" s="60" t="e">
        <f>'Prospek 2025'!#REF!+1</f>
        <v>#REF!</v>
      </c>
      <c r="B88" s="255" t="s">
        <v>198</v>
      </c>
      <c r="C88" s="378">
        <v>11949000</v>
      </c>
      <c r="D88" s="341"/>
      <c r="E88" s="341"/>
      <c r="F88" s="294" t="s">
        <v>1468</v>
      </c>
      <c r="G88" s="341"/>
      <c r="H88" s="294"/>
      <c r="I88" s="294"/>
      <c r="J88" s="294"/>
      <c r="K88" s="97" t="s">
        <v>1469</v>
      </c>
      <c r="L88" s="294"/>
      <c r="M88" s="294"/>
      <c r="N88" s="97"/>
      <c r="O88" s="294"/>
    </row>
    <row r="89" spans="1:16" s="287" customFormat="1" ht="210" hidden="1" x14ac:dyDescent="0.5">
      <c r="A89" s="60">
        <f>Loss!A96+1</f>
        <v>31</v>
      </c>
      <c r="B89" s="255" t="s">
        <v>1470</v>
      </c>
      <c r="C89" s="516">
        <v>148560000</v>
      </c>
      <c r="D89" s="341"/>
      <c r="E89" s="341"/>
      <c r="F89" s="294" t="s">
        <v>1471</v>
      </c>
      <c r="G89" s="341"/>
      <c r="H89" s="294"/>
      <c r="I89" s="294"/>
      <c r="J89" s="294"/>
      <c r="K89" s="97" t="s">
        <v>1472</v>
      </c>
      <c r="L89" s="294"/>
      <c r="M89" s="294"/>
      <c r="N89" s="97"/>
      <c r="O89" s="294"/>
    </row>
    <row r="90" spans="1:16" s="287" customFormat="1" ht="126" hidden="1" x14ac:dyDescent="0.5">
      <c r="A90" s="60">
        <f>Loss!A88+1</f>
        <v>31</v>
      </c>
      <c r="B90" s="255" t="s">
        <v>1473</v>
      </c>
      <c r="C90" s="362">
        <v>260574700</v>
      </c>
      <c r="D90" s="341"/>
      <c r="E90" s="341"/>
      <c r="F90" s="294" t="s">
        <v>1277</v>
      </c>
      <c r="G90" s="341"/>
      <c r="H90" s="294"/>
      <c r="I90" s="294"/>
      <c r="J90" s="294"/>
      <c r="K90" s="97" t="s">
        <v>1474</v>
      </c>
      <c r="L90" s="294"/>
      <c r="M90" s="294"/>
      <c r="N90" s="97"/>
      <c r="O90" s="294"/>
    </row>
    <row r="91" spans="1:16" s="287" customFormat="1" ht="126" hidden="1" x14ac:dyDescent="0.5">
      <c r="A91" s="60">
        <f>A90+1</f>
        <v>32</v>
      </c>
      <c r="B91" s="255" t="s">
        <v>1475</v>
      </c>
      <c r="C91" s="362">
        <v>212565400</v>
      </c>
      <c r="D91" s="341"/>
      <c r="E91" s="341"/>
      <c r="F91" s="294" t="s">
        <v>1277</v>
      </c>
      <c r="G91" s="341"/>
      <c r="H91" s="294"/>
      <c r="I91" s="294"/>
      <c r="J91" s="294"/>
      <c r="K91" s="97" t="s">
        <v>1476</v>
      </c>
      <c r="L91" s="294"/>
      <c r="M91" s="294"/>
      <c r="N91" s="97"/>
      <c r="O91" s="294"/>
    </row>
    <row r="92" spans="1:16" s="287" customFormat="1" ht="84" hidden="1" x14ac:dyDescent="0.5">
      <c r="A92" s="60">
        <f>Loss!A94+1</f>
        <v>39</v>
      </c>
      <c r="B92" s="255" t="s">
        <v>1477</v>
      </c>
      <c r="C92" s="378">
        <v>9139200</v>
      </c>
      <c r="D92" s="341"/>
      <c r="E92" s="341"/>
      <c r="F92" s="294" t="s">
        <v>1432</v>
      </c>
      <c r="G92" s="341"/>
      <c r="H92" s="294"/>
      <c r="I92" s="294"/>
      <c r="J92" s="294"/>
      <c r="K92" s="97" t="s">
        <v>1478</v>
      </c>
      <c r="L92" s="294"/>
      <c r="M92" s="294"/>
      <c r="N92" s="97"/>
      <c r="O92" s="294"/>
    </row>
    <row r="93" spans="1:16" s="287" customFormat="1" ht="42" hidden="1" x14ac:dyDescent="0.5">
      <c r="A93" s="60" t="e">
        <f>'Prospek 2025'!#REF!+1</f>
        <v>#REF!</v>
      </c>
      <c r="B93" s="255" t="s">
        <v>1479</v>
      </c>
      <c r="C93" s="341"/>
      <c r="D93" s="341"/>
      <c r="E93" s="341"/>
      <c r="F93" s="294" t="s">
        <v>1480</v>
      </c>
      <c r="G93" s="341"/>
      <c r="H93" s="294"/>
      <c r="I93" s="294"/>
      <c r="J93" s="294"/>
      <c r="K93" s="97" t="s">
        <v>1481</v>
      </c>
      <c r="L93" s="294"/>
      <c r="M93" s="294"/>
      <c r="N93" s="97"/>
      <c r="O93" s="294"/>
    </row>
    <row r="94" spans="1:16" s="287" customFormat="1" ht="147" hidden="1" x14ac:dyDescent="0.5">
      <c r="A94" s="60" t="e">
        <f>'Prospek 2025'!#REF!+1</f>
        <v>#REF!</v>
      </c>
      <c r="B94" s="255" t="s">
        <v>1482</v>
      </c>
      <c r="C94" s="378">
        <v>2096047586</v>
      </c>
      <c r="D94" s="341"/>
      <c r="E94" s="61" t="s">
        <v>1483</v>
      </c>
      <c r="F94" s="61" t="s">
        <v>1484</v>
      </c>
      <c r="G94" s="341"/>
      <c r="H94" s="294"/>
      <c r="I94" s="294"/>
      <c r="J94" s="294"/>
      <c r="K94" s="97" t="s">
        <v>1485</v>
      </c>
      <c r="L94" s="294"/>
      <c r="M94" s="294"/>
      <c r="N94" s="97"/>
      <c r="O94" s="294"/>
    </row>
    <row r="95" spans="1:16" s="287" customFormat="1" ht="84" hidden="1" x14ac:dyDescent="0.5">
      <c r="A95" s="60" t="e">
        <f>'Prospek 2025'!#REF!+1</f>
        <v>#REF!</v>
      </c>
      <c r="B95" s="255" t="s">
        <v>1486</v>
      </c>
      <c r="C95" s="378">
        <v>3508295916</v>
      </c>
      <c r="D95" s="341"/>
      <c r="E95" s="341"/>
      <c r="F95" s="294" t="s">
        <v>996</v>
      </c>
      <c r="G95" s="341"/>
      <c r="H95" s="294"/>
      <c r="I95" s="294"/>
      <c r="J95" s="294"/>
      <c r="K95" s="97" t="s">
        <v>1487</v>
      </c>
      <c r="L95" s="294"/>
      <c r="M95" s="294"/>
      <c r="N95" s="97"/>
      <c r="O95" s="294"/>
    </row>
    <row r="96" spans="1:16" s="287" customFormat="1" ht="63" hidden="1" x14ac:dyDescent="0.5">
      <c r="A96" s="60" t="e">
        <f>'Prospek 2025'!#REF!+1</f>
        <v>#REF!</v>
      </c>
      <c r="B96" s="255" t="s">
        <v>1488</v>
      </c>
      <c r="C96" s="378">
        <v>3127927504</v>
      </c>
      <c r="D96" s="341"/>
      <c r="E96" s="341"/>
      <c r="F96" s="294" t="s">
        <v>271</v>
      </c>
      <c r="G96" s="341"/>
      <c r="H96" s="294"/>
      <c r="I96" s="294"/>
      <c r="J96" s="294"/>
      <c r="K96" s="97" t="s">
        <v>1489</v>
      </c>
      <c r="L96" s="294"/>
      <c r="M96" s="294"/>
      <c r="N96" s="97"/>
      <c r="O96" s="294"/>
    </row>
    <row r="97" spans="1:15" s="287" customFormat="1" ht="84" hidden="1" x14ac:dyDescent="0.5">
      <c r="A97" s="60">
        <v>40</v>
      </c>
      <c r="B97" s="255" t="s">
        <v>1490</v>
      </c>
      <c r="C97" s="516">
        <v>283943700</v>
      </c>
      <c r="D97" s="341"/>
      <c r="E97" s="341"/>
      <c r="F97" s="294" t="s">
        <v>1491</v>
      </c>
      <c r="G97" s="341"/>
      <c r="H97" s="294"/>
      <c r="I97" s="294"/>
      <c r="J97" s="294"/>
      <c r="K97" s="97" t="s">
        <v>1492</v>
      </c>
      <c r="L97" s="294"/>
      <c r="M97" s="294"/>
      <c r="N97" s="97"/>
      <c r="O97" s="294"/>
    </row>
    <row r="98" spans="1:15" s="287" customFormat="1" ht="147" hidden="1" x14ac:dyDescent="0.5">
      <c r="A98" s="60">
        <v>41</v>
      </c>
      <c r="B98" s="255" t="s">
        <v>159</v>
      </c>
      <c r="C98" s="362">
        <f>1480740800+1398240000</f>
        <v>2878980800</v>
      </c>
      <c r="D98" s="341"/>
      <c r="E98" s="341"/>
      <c r="F98" s="294" t="s">
        <v>1493</v>
      </c>
      <c r="G98" s="341"/>
      <c r="H98" s="294"/>
      <c r="I98" s="294"/>
      <c r="J98" s="294"/>
      <c r="K98" s="97" t="s">
        <v>1494</v>
      </c>
      <c r="L98" s="294"/>
      <c r="M98" s="294"/>
      <c r="N98" s="97"/>
      <c r="O98" s="294"/>
    </row>
    <row r="99" spans="1:15" s="341" customFormat="1" ht="105" hidden="1" x14ac:dyDescent="0.5">
      <c r="A99" s="60">
        <v>57</v>
      </c>
      <c r="B99" s="255" t="s">
        <v>1495</v>
      </c>
      <c r="C99" s="378">
        <v>1275496700</v>
      </c>
      <c r="F99" s="294" t="s">
        <v>1496</v>
      </c>
      <c r="H99" s="294"/>
      <c r="I99" s="294"/>
      <c r="J99" s="294"/>
      <c r="K99" s="97" t="s">
        <v>1497</v>
      </c>
      <c r="L99" s="294"/>
      <c r="M99" s="294"/>
      <c r="N99" s="97"/>
      <c r="O99" s="294"/>
    </row>
    <row r="100" spans="1:15" s="341" customFormat="1" ht="126" hidden="1" x14ac:dyDescent="0.5">
      <c r="A100" s="60">
        <v>58</v>
      </c>
      <c r="B100" s="255" t="s">
        <v>1498</v>
      </c>
      <c r="C100" s="294" t="s">
        <v>1499</v>
      </c>
      <c r="F100" s="294" t="s">
        <v>762</v>
      </c>
      <c r="H100" s="294"/>
      <c r="I100" s="294"/>
      <c r="J100" s="294"/>
      <c r="K100" s="97" t="s">
        <v>1500</v>
      </c>
      <c r="L100" s="294"/>
      <c r="M100" s="294"/>
      <c r="N100" s="97"/>
      <c r="O100" s="294"/>
    </row>
    <row r="101" spans="1:15" s="341" customFormat="1" ht="252" hidden="1" x14ac:dyDescent="0.5">
      <c r="A101" s="60">
        <v>59</v>
      </c>
      <c r="B101" s="255" t="s">
        <v>1501</v>
      </c>
      <c r="C101" s="378">
        <v>1205160398</v>
      </c>
      <c r="F101" s="294" t="s">
        <v>1502</v>
      </c>
      <c r="H101" s="294"/>
      <c r="I101" s="294" t="s">
        <v>1503</v>
      </c>
      <c r="J101" s="294"/>
      <c r="K101" s="97" t="s">
        <v>1504</v>
      </c>
      <c r="L101" s="294"/>
      <c r="M101" s="294"/>
      <c r="N101" s="97"/>
      <c r="O101" s="294"/>
    </row>
    <row r="102" spans="1:15" s="341" customFormat="1" ht="336" hidden="1" x14ac:dyDescent="0.5">
      <c r="A102" s="60">
        <v>15</v>
      </c>
      <c r="B102" s="255" t="s">
        <v>1505</v>
      </c>
      <c r="C102" s="378">
        <v>191000000</v>
      </c>
      <c r="F102" s="294" t="s">
        <v>1506</v>
      </c>
      <c r="H102" s="294"/>
      <c r="I102" s="294"/>
      <c r="J102" s="294"/>
      <c r="K102" s="97" t="s">
        <v>1507</v>
      </c>
      <c r="L102" s="294"/>
      <c r="M102" s="294"/>
      <c r="N102" s="97"/>
      <c r="O102" s="294"/>
    </row>
    <row r="103" spans="1:15" s="287" customFormat="1" ht="252" hidden="1" x14ac:dyDescent="0.5">
      <c r="A103" s="60">
        <v>24</v>
      </c>
      <c r="B103" s="255" t="s">
        <v>1508</v>
      </c>
      <c r="C103" s="362">
        <v>673031268</v>
      </c>
      <c r="D103" s="362"/>
      <c r="E103" s="341"/>
      <c r="F103" s="294" t="s">
        <v>1509</v>
      </c>
      <c r="G103" s="341"/>
      <c r="H103" s="294"/>
      <c r="I103" s="294"/>
      <c r="J103" s="294"/>
      <c r="K103" s="97" t="s">
        <v>1510</v>
      </c>
      <c r="L103" s="294"/>
      <c r="M103" s="294"/>
      <c r="N103" s="97"/>
      <c r="O103" s="294"/>
    </row>
    <row r="104" spans="1:15" s="287" customFormat="1" ht="63" hidden="1" x14ac:dyDescent="0.5">
      <c r="A104" s="60">
        <v>40</v>
      </c>
      <c r="B104" s="255" t="s">
        <v>1511</v>
      </c>
      <c r="C104" s="362">
        <v>2067111000</v>
      </c>
      <c r="D104" s="341"/>
      <c r="E104" s="341"/>
      <c r="F104" s="294" t="s">
        <v>105</v>
      </c>
      <c r="G104" s="341"/>
      <c r="H104" s="294"/>
      <c r="I104" s="294"/>
      <c r="J104" s="294"/>
      <c r="K104" s="97" t="s">
        <v>1512</v>
      </c>
      <c r="L104" s="294"/>
      <c r="M104" s="294"/>
      <c r="N104" s="97"/>
      <c r="O104" s="294"/>
    </row>
    <row r="105" spans="1:15" s="287" customFormat="1" ht="168" hidden="1" x14ac:dyDescent="0.5">
      <c r="A105" s="60">
        <v>57</v>
      </c>
      <c r="B105" s="255" t="s">
        <v>1513</v>
      </c>
      <c r="C105" s="341"/>
      <c r="D105" s="341"/>
      <c r="E105" s="341"/>
      <c r="F105" s="294" t="s">
        <v>1514</v>
      </c>
      <c r="G105" s="341"/>
      <c r="H105" s="294"/>
      <c r="I105" s="294"/>
      <c r="J105" s="294"/>
      <c r="K105" s="97" t="s">
        <v>1515</v>
      </c>
      <c r="L105" s="294"/>
      <c r="M105" s="294"/>
      <c r="N105" s="97"/>
      <c r="O105" s="294"/>
    </row>
    <row r="106" spans="1:15" s="287" customFormat="1" ht="409.5" hidden="1" x14ac:dyDescent="0.5">
      <c r="A106" s="60">
        <v>64</v>
      </c>
      <c r="B106" s="255" t="s">
        <v>1516</v>
      </c>
      <c r="C106" s="378">
        <v>2154167600</v>
      </c>
      <c r="D106" s="341"/>
      <c r="E106" s="341"/>
      <c r="F106" s="294" t="s">
        <v>271</v>
      </c>
      <c r="G106" s="341"/>
      <c r="H106" s="294"/>
      <c r="I106" s="294"/>
      <c r="J106" s="294"/>
      <c r="K106" s="97" t="s">
        <v>1517</v>
      </c>
      <c r="L106" s="294"/>
      <c r="M106" s="294"/>
      <c r="N106" s="97"/>
      <c r="O106" s="294"/>
    </row>
    <row r="107" spans="1:15" s="287" customFormat="1" ht="126" hidden="1" x14ac:dyDescent="0.5">
      <c r="A107" s="60">
        <v>50</v>
      </c>
      <c r="B107" s="255" t="s">
        <v>1518</v>
      </c>
      <c r="C107" s="378">
        <v>228980700</v>
      </c>
      <c r="D107" s="341"/>
      <c r="E107" s="341"/>
      <c r="F107" s="294" t="s">
        <v>1519</v>
      </c>
      <c r="G107" s="341"/>
      <c r="H107" s="294"/>
      <c r="I107" s="294"/>
      <c r="J107" s="294"/>
      <c r="K107" s="97" t="s">
        <v>1520</v>
      </c>
      <c r="L107" s="294"/>
      <c r="M107" s="294"/>
      <c r="N107" s="97"/>
      <c r="O107" s="294"/>
    </row>
    <row r="108" spans="1:15" s="520" customFormat="1" ht="105" hidden="1" x14ac:dyDescent="0.5">
      <c r="A108" s="60">
        <v>14</v>
      </c>
      <c r="B108" s="518" t="s">
        <v>1521</v>
      </c>
      <c r="C108" s="519"/>
      <c r="D108" s="519">
        <v>2184084010</v>
      </c>
      <c r="F108" s="521" t="s">
        <v>914</v>
      </c>
      <c r="H108" s="521"/>
      <c r="I108" s="521"/>
      <c r="J108" s="521"/>
      <c r="K108" s="397" t="s">
        <v>1522</v>
      </c>
      <c r="L108" s="521"/>
      <c r="M108" s="521"/>
      <c r="N108" s="397"/>
      <c r="O108" s="521"/>
    </row>
    <row r="109" spans="1:15" s="287" customFormat="1" ht="84" hidden="1" x14ac:dyDescent="0.5">
      <c r="A109" s="60">
        <v>40</v>
      </c>
      <c r="B109" s="255" t="s">
        <v>1523</v>
      </c>
      <c r="C109" s="378">
        <v>3371899000</v>
      </c>
      <c r="D109" s="341"/>
      <c r="E109" s="341"/>
      <c r="F109" s="294" t="s">
        <v>1524</v>
      </c>
      <c r="G109" s="341"/>
      <c r="H109" s="294"/>
      <c r="I109" s="294"/>
      <c r="J109" s="294"/>
      <c r="K109" s="97" t="s">
        <v>1525</v>
      </c>
      <c r="L109" s="294"/>
      <c r="M109" s="294"/>
      <c r="N109" s="97"/>
      <c r="O109" s="294"/>
    </row>
    <row r="110" spans="1:15" s="287" customFormat="1" ht="84" hidden="1" x14ac:dyDescent="0.5">
      <c r="A110" s="60">
        <v>41</v>
      </c>
      <c r="B110" s="255" t="s">
        <v>1526</v>
      </c>
      <c r="C110" s="362">
        <v>416941200</v>
      </c>
      <c r="D110" s="341"/>
      <c r="E110" s="341"/>
      <c r="F110" s="294" t="s">
        <v>177</v>
      </c>
      <c r="G110" s="341"/>
      <c r="H110" s="294"/>
      <c r="I110" s="294"/>
      <c r="J110" s="294"/>
      <c r="K110" s="97" t="s">
        <v>1527</v>
      </c>
      <c r="L110" s="294"/>
      <c r="M110" s="294"/>
      <c r="N110" s="97"/>
      <c r="O110" s="294"/>
    </row>
    <row r="111" spans="1:15" s="287" customFormat="1" ht="126" hidden="1" x14ac:dyDescent="0.5">
      <c r="A111" s="60">
        <v>49</v>
      </c>
      <c r="B111" s="255" t="s">
        <v>1528</v>
      </c>
      <c r="C111" s="378">
        <v>2141873590</v>
      </c>
      <c r="D111" s="341"/>
      <c r="E111" s="341"/>
      <c r="F111" s="294" t="s">
        <v>1514</v>
      </c>
      <c r="G111" s="341"/>
      <c r="H111" s="294"/>
      <c r="I111" s="294"/>
      <c r="J111" s="294"/>
      <c r="K111" s="97" t="s">
        <v>1529</v>
      </c>
      <c r="L111" s="294"/>
      <c r="M111" s="294"/>
      <c r="N111" s="97"/>
      <c r="O111" s="294"/>
    </row>
    <row r="112" spans="1:15" s="287" customFormat="1" ht="84" hidden="1" x14ac:dyDescent="0.5">
      <c r="A112" s="60">
        <v>51</v>
      </c>
      <c r="B112" s="255" t="s">
        <v>1530</v>
      </c>
      <c r="C112" s="378">
        <v>283015100</v>
      </c>
      <c r="D112" s="341"/>
      <c r="E112" s="341"/>
      <c r="F112" s="294" t="s">
        <v>1531</v>
      </c>
      <c r="G112" s="341"/>
      <c r="H112" s="294"/>
      <c r="I112" s="294"/>
      <c r="J112" s="294"/>
      <c r="K112" s="97" t="s">
        <v>1532</v>
      </c>
      <c r="L112" s="294"/>
      <c r="M112" s="294"/>
      <c r="N112" s="97"/>
      <c r="O112" s="294"/>
    </row>
    <row r="113" spans="1:15" s="287" customFormat="1" ht="84" hidden="1" x14ac:dyDescent="0.5">
      <c r="A113" s="60">
        <v>65</v>
      </c>
      <c r="B113" s="255" t="s">
        <v>1533</v>
      </c>
      <c r="C113" s="378">
        <v>114238300</v>
      </c>
      <c r="D113" s="341"/>
      <c r="E113" s="341"/>
      <c r="F113" s="294" t="s">
        <v>1534</v>
      </c>
      <c r="G113" s="341"/>
      <c r="H113" s="294"/>
      <c r="I113" s="294"/>
      <c r="J113" s="294"/>
      <c r="K113" s="97" t="s">
        <v>1535</v>
      </c>
      <c r="L113" s="294"/>
      <c r="M113" s="294"/>
      <c r="N113" s="97"/>
      <c r="O113" s="294"/>
    </row>
    <row r="114" spans="1:15" s="287" customFormat="1" ht="147" hidden="1" x14ac:dyDescent="0.5">
      <c r="A114" s="60">
        <v>52</v>
      </c>
      <c r="B114" s="255" t="s">
        <v>1536</v>
      </c>
      <c r="C114" s="378">
        <v>848846800</v>
      </c>
      <c r="D114" s="341"/>
      <c r="E114" s="341"/>
      <c r="F114" s="294" t="s">
        <v>1537</v>
      </c>
      <c r="G114" s="341"/>
      <c r="H114" s="294"/>
      <c r="I114" s="294"/>
      <c r="J114" s="294"/>
      <c r="K114" s="97" t="s">
        <v>1538</v>
      </c>
      <c r="L114" s="294"/>
      <c r="M114" s="294"/>
      <c r="N114" s="97"/>
      <c r="O114" s="294"/>
    </row>
    <row r="115" spans="1:15" s="287" customFormat="1" ht="105" hidden="1" x14ac:dyDescent="0.5">
      <c r="A115" s="60">
        <v>61</v>
      </c>
      <c r="B115" s="255" t="s">
        <v>1539</v>
      </c>
      <c r="C115" s="341"/>
      <c r="D115" s="341"/>
      <c r="E115" s="341"/>
      <c r="F115" s="294" t="s">
        <v>1502</v>
      </c>
      <c r="G115" s="341"/>
      <c r="H115" s="294"/>
      <c r="I115" s="294"/>
      <c r="J115" s="294"/>
      <c r="K115" s="97" t="s">
        <v>1540</v>
      </c>
      <c r="L115" s="294"/>
      <c r="M115" s="294"/>
      <c r="N115" s="97"/>
      <c r="O115" s="294"/>
    </row>
    <row r="116" spans="1:15" s="287" customFormat="1" ht="126" hidden="1" x14ac:dyDescent="0.5">
      <c r="A116" s="60">
        <v>54</v>
      </c>
      <c r="B116" s="255" t="s">
        <v>1541</v>
      </c>
      <c r="C116" s="378">
        <v>55311000</v>
      </c>
      <c r="D116" s="341"/>
      <c r="E116" s="341"/>
      <c r="F116" s="294" t="s">
        <v>1514</v>
      </c>
      <c r="G116" s="341"/>
      <c r="H116" s="294"/>
      <c r="I116" s="294"/>
      <c r="J116" s="294"/>
      <c r="K116" s="97" t="s">
        <v>1542</v>
      </c>
      <c r="L116" s="294"/>
      <c r="M116" s="294"/>
      <c r="N116" s="97"/>
      <c r="O116" s="294"/>
    </row>
    <row r="117" spans="1:15" s="287" customFormat="1" ht="315" hidden="1" x14ac:dyDescent="0.5">
      <c r="A117" s="60">
        <v>40</v>
      </c>
      <c r="B117" s="255" t="s">
        <v>1084</v>
      </c>
      <c r="C117" s="378">
        <v>2135074372</v>
      </c>
      <c r="D117" s="341"/>
      <c r="E117" s="341"/>
      <c r="F117" s="294" t="s">
        <v>1543</v>
      </c>
      <c r="G117" s="341"/>
      <c r="H117" s="294"/>
      <c r="I117" s="294"/>
      <c r="J117" s="294"/>
      <c r="K117" s="97" t="s">
        <v>1544</v>
      </c>
      <c r="L117" s="294"/>
      <c r="M117" s="294"/>
      <c r="N117" s="97"/>
      <c r="O117" s="294"/>
    </row>
    <row r="118" spans="1:15" s="287" customFormat="1" ht="84" hidden="1" x14ac:dyDescent="0.5">
      <c r="A118" s="60">
        <v>45</v>
      </c>
      <c r="B118" s="255" t="s">
        <v>1545</v>
      </c>
      <c r="C118" s="378">
        <v>22404600</v>
      </c>
      <c r="D118" s="341"/>
      <c r="E118" s="341"/>
      <c r="F118" s="294" t="s">
        <v>184</v>
      </c>
      <c r="G118" s="341"/>
      <c r="H118" s="294"/>
      <c r="I118" s="294"/>
      <c r="J118" s="294"/>
      <c r="K118" s="97" t="s">
        <v>1546</v>
      </c>
      <c r="L118" s="294"/>
      <c r="M118" s="294"/>
      <c r="N118" s="97"/>
      <c r="O118" s="294"/>
    </row>
    <row r="119" spans="1:15" s="287" customFormat="1" ht="105" hidden="1" x14ac:dyDescent="0.5">
      <c r="A119" s="60">
        <v>47</v>
      </c>
      <c r="B119" s="255" t="s">
        <v>1547</v>
      </c>
      <c r="C119" s="378">
        <v>77877000</v>
      </c>
      <c r="D119" s="341"/>
      <c r="E119" s="341"/>
      <c r="F119" s="294" t="s">
        <v>184</v>
      </c>
      <c r="G119" s="341"/>
      <c r="H119" s="294"/>
      <c r="I119" s="294"/>
      <c r="J119" s="294"/>
      <c r="K119" s="97" t="s">
        <v>1548</v>
      </c>
      <c r="L119" s="294"/>
      <c r="M119" s="294"/>
      <c r="N119" s="97"/>
      <c r="O119" s="294"/>
    </row>
    <row r="120" spans="1:15" s="287" customFormat="1" ht="168" hidden="1" x14ac:dyDescent="0.5">
      <c r="A120" s="60">
        <v>55</v>
      </c>
      <c r="B120" s="255" t="s">
        <v>1549</v>
      </c>
      <c r="C120" s="378">
        <v>664916100</v>
      </c>
      <c r="D120" s="341"/>
      <c r="E120" s="341"/>
      <c r="F120" s="294" t="s">
        <v>219</v>
      </c>
      <c r="G120" s="341"/>
      <c r="H120" s="294"/>
      <c r="I120" s="294"/>
      <c r="J120" s="294"/>
      <c r="K120" s="97" t="s">
        <v>1550</v>
      </c>
      <c r="L120" s="294"/>
      <c r="M120" s="294"/>
      <c r="N120" s="97"/>
      <c r="O120" s="294"/>
    </row>
    <row r="121" spans="1:15" s="287" customFormat="1" ht="126" hidden="1" x14ac:dyDescent="0.5">
      <c r="A121" s="60">
        <v>68</v>
      </c>
      <c r="B121" s="255" t="s">
        <v>1551</v>
      </c>
      <c r="C121" s="341"/>
      <c r="D121" s="341"/>
      <c r="E121" s="341"/>
      <c r="F121" s="294" t="s">
        <v>1552</v>
      </c>
      <c r="G121" s="341"/>
      <c r="H121" s="294"/>
      <c r="I121" s="294"/>
      <c r="J121" s="294"/>
      <c r="K121" s="97" t="s">
        <v>1553</v>
      </c>
      <c r="L121" s="294"/>
      <c r="M121" s="294"/>
      <c r="N121" s="97"/>
      <c r="O121" s="294"/>
    </row>
    <row r="122" spans="1:15" s="287" customFormat="1" ht="189" hidden="1" x14ac:dyDescent="0.5">
      <c r="A122" s="60">
        <v>69</v>
      </c>
      <c r="B122" s="255" t="s">
        <v>1554</v>
      </c>
      <c r="C122" s="525">
        <v>9656058300</v>
      </c>
      <c r="D122" s="341"/>
      <c r="E122" s="341"/>
      <c r="F122" s="294" t="s">
        <v>1555</v>
      </c>
      <c r="G122" s="341"/>
      <c r="H122" s="294"/>
      <c r="I122" s="294"/>
      <c r="J122" s="294"/>
      <c r="K122" s="97" t="s">
        <v>1556</v>
      </c>
      <c r="L122" s="294"/>
      <c r="M122" s="294"/>
      <c r="N122" s="97"/>
      <c r="O122" s="294"/>
    </row>
    <row r="123" spans="1:15" s="392" customFormat="1" ht="131.25" customHeight="1" x14ac:dyDescent="0.5">
      <c r="A123" s="56">
        <v>31</v>
      </c>
      <c r="B123" s="118" t="s">
        <v>157</v>
      </c>
      <c r="C123" s="395">
        <v>13066511520</v>
      </c>
      <c r="D123" s="393"/>
      <c r="E123" s="393"/>
      <c r="F123" s="394" t="s">
        <v>158</v>
      </c>
      <c r="G123" s="393"/>
      <c r="H123" s="394"/>
      <c r="I123" s="394"/>
      <c r="J123" s="394"/>
      <c r="K123" s="563" t="s">
        <v>2223</v>
      </c>
      <c r="L123" s="394"/>
      <c r="M123" s="394"/>
      <c r="N123" s="57" t="s">
        <v>96</v>
      </c>
      <c r="O123" s="394"/>
    </row>
    <row r="124" spans="1:15" s="392" customFormat="1" ht="84" x14ac:dyDescent="0.5">
      <c r="B124" s="557" t="s">
        <v>2218</v>
      </c>
      <c r="C124" s="562">
        <v>8160471360</v>
      </c>
      <c r="F124" s="557" t="s">
        <v>158</v>
      </c>
      <c r="K124" s="557" t="s">
        <v>2219</v>
      </c>
    </row>
    <row r="128" spans="1:15" ht="21" x14ac:dyDescent="0.5">
      <c r="A128" s="99">
        <f>COUNT(B3:B124)</f>
        <v>0</v>
      </c>
      <c r="K128" s="566">
        <f>6/13</f>
        <v>0.46153846153846156</v>
      </c>
    </row>
    <row r="129" spans="1:15" s="287" customFormat="1" ht="147" x14ac:dyDescent="0.5">
      <c r="A129" s="532">
        <v>57</v>
      </c>
      <c r="B129" s="255" t="s">
        <v>204</v>
      </c>
      <c r="C129" s="497">
        <f>1563910656+2662396380+1800231482</f>
        <v>6026538518</v>
      </c>
      <c r="D129" s="341"/>
      <c r="E129" s="341"/>
      <c r="F129" s="294" t="s">
        <v>205</v>
      </c>
      <c r="G129" s="341"/>
      <c r="H129" s="294"/>
      <c r="I129" s="294"/>
      <c r="J129" s="294"/>
      <c r="K129" s="97" t="s">
        <v>2258</v>
      </c>
      <c r="L129" s="294"/>
      <c r="M129" s="294"/>
      <c r="N129" s="97" t="s">
        <v>96</v>
      </c>
      <c r="O129" s="294"/>
    </row>
    <row r="130" spans="1:15" s="287" customFormat="1" ht="105" x14ac:dyDescent="0.5">
      <c r="A130" s="532">
        <v>61</v>
      </c>
      <c r="B130" s="255" t="s">
        <v>212</v>
      </c>
      <c r="C130" s="378">
        <v>4627619500</v>
      </c>
      <c r="D130" s="341"/>
      <c r="E130" s="341"/>
      <c r="F130" s="294" t="s">
        <v>213</v>
      </c>
      <c r="G130" s="341"/>
      <c r="H130" s="294"/>
      <c r="I130" s="294"/>
      <c r="J130" s="294"/>
      <c r="K130" s="97" t="s">
        <v>2262</v>
      </c>
      <c r="L130" s="294"/>
      <c r="M130" s="294"/>
      <c r="N130" s="97"/>
      <c r="O130" s="294"/>
    </row>
    <row r="131" spans="1:15" s="341" customFormat="1" ht="117.5" x14ac:dyDescent="0.55000000000000004">
      <c r="A131" s="532">
        <v>71</v>
      </c>
      <c r="B131" s="569" t="s">
        <v>2227</v>
      </c>
      <c r="F131" s="294" t="s">
        <v>2263</v>
      </c>
      <c r="H131" s="294"/>
      <c r="I131" s="294"/>
      <c r="J131" s="294"/>
      <c r="K131" s="97" t="s">
        <v>2242</v>
      </c>
      <c r="L131" s="294"/>
      <c r="M131" s="294"/>
      <c r="N131" s="97"/>
      <c r="O131" s="294"/>
    </row>
    <row r="132" spans="1:15" s="287" customFormat="1" ht="147" x14ac:dyDescent="0.5">
      <c r="A132" s="532">
        <v>50</v>
      </c>
      <c r="B132" s="255" t="s">
        <v>194</v>
      </c>
      <c r="C132" s="493">
        <v>87541200</v>
      </c>
      <c r="D132" s="341"/>
      <c r="E132" s="341"/>
      <c r="F132" s="294" t="s">
        <v>184</v>
      </c>
      <c r="G132" s="341"/>
      <c r="H132" s="294"/>
      <c r="I132" s="294"/>
      <c r="J132" s="294"/>
      <c r="K132" s="97" t="s">
        <v>195</v>
      </c>
      <c r="L132" s="294"/>
      <c r="M132" s="294"/>
      <c r="N132" s="97" t="s">
        <v>91</v>
      </c>
      <c r="O132" s="294"/>
    </row>
  </sheetData>
  <autoFilter ref="A1:O123" xr:uid="{704090D7-BBC0-4FB7-B4CD-D1C7517C2363}">
    <filterColumn colId="5">
      <filters>
        <filter val="Indodaya Naratama Abadi"/>
        <filter val="PT. Alam Insektindo"/>
        <filter val="PT. Indodaya Naratama Abadi"/>
        <filter val="PT.Indodaya Naratama Abadi"/>
      </filters>
    </filterColumn>
  </autoFilter>
  <conditionalFormatting sqref="A6:I105 A107:I107 A114:I122 F124">
    <cfRule type="expression" dxfId="6" priority="1">
      <formula>$A6&lt;&gt;""</formula>
    </cfRule>
  </conditionalFormatting>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7"/>
  <sheetViews>
    <sheetView zoomScale="70" zoomScaleNormal="70" zoomScaleSheetLayoutView="85" workbookViewId="0">
      <pane ySplit="3" topLeftCell="A192" activePane="bottomLeft" state="frozen"/>
      <selection pane="bottomLeft" activeCell="A197" sqref="A197:XFD197"/>
    </sheetView>
  </sheetViews>
  <sheetFormatPr defaultRowHeight="14.5" x14ac:dyDescent="0.35"/>
  <cols>
    <col min="1" max="1" width="3.81640625" bestFit="1" customWidth="1"/>
    <col min="2" max="2" width="54.81640625" bestFit="1" customWidth="1"/>
    <col min="3" max="3" width="22.81640625" customWidth="1"/>
    <col min="4" max="4" width="21.54296875" bestFit="1" customWidth="1"/>
    <col min="5" max="5" width="44.453125" bestFit="1" customWidth="1"/>
    <col min="6" max="6" width="40" bestFit="1" customWidth="1"/>
    <col min="7" max="7" width="60.81640625" bestFit="1" customWidth="1"/>
    <col min="8" max="8" width="26.453125" bestFit="1" customWidth="1"/>
    <col min="9" max="9" width="27" bestFit="1" customWidth="1"/>
    <col min="10" max="10" width="20.81640625" bestFit="1" customWidth="1"/>
    <col min="11" max="11" width="67.453125" customWidth="1"/>
    <col min="13" max="13" width="7.54296875" bestFit="1" customWidth="1"/>
    <col min="14" max="14" width="9" bestFit="1" customWidth="1"/>
  </cols>
  <sheetData>
    <row r="1" spans="1:10" ht="21" customHeight="1" x14ac:dyDescent="0.35">
      <c r="A1" s="573" t="s">
        <v>1557</v>
      </c>
      <c r="B1" s="573"/>
      <c r="C1" s="573"/>
      <c r="D1" s="573"/>
      <c r="E1" s="573"/>
      <c r="F1" s="573"/>
      <c r="G1" s="573"/>
      <c r="H1" s="573"/>
      <c r="I1" s="573"/>
      <c r="J1" s="573"/>
    </row>
    <row r="2" spans="1:10" ht="15" customHeight="1" x14ac:dyDescent="0.35">
      <c r="A2" s="574"/>
      <c r="B2" s="574"/>
      <c r="C2" s="574"/>
      <c r="D2" s="574"/>
      <c r="E2" s="574"/>
      <c r="F2" s="574"/>
      <c r="G2" s="574"/>
      <c r="H2" s="574"/>
      <c r="I2" s="574"/>
      <c r="J2" s="574"/>
    </row>
    <row r="3" spans="1:10" s="137" customFormat="1" ht="15.5" x14ac:dyDescent="0.35">
      <c r="A3" s="138" t="s">
        <v>1</v>
      </c>
      <c r="B3" s="138" t="s">
        <v>2</v>
      </c>
      <c r="C3" s="138" t="s">
        <v>450</v>
      </c>
      <c r="D3" s="138" t="s">
        <v>451</v>
      </c>
      <c r="E3" s="138" t="s">
        <v>6</v>
      </c>
      <c r="F3" s="138" t="s">
        <v>452</v>
      </c>
      <c r="G3" s="139" t="s">
        <v>484</v>
      </c>
      <c r="H3" s="139" t="s">
        <v>567</v>
      </c>
      <c r="I3" s="139" t="s">
        <v>12</v>
      </c>
      <c r="J3" s="138" t="s">
        <v>13</v>
      </c>
    </row>
    <row r="4" spans="1:10" x14ac:dyDescent="0.35">
      <c r="A4" s="9">
        <v>1</v>
      </c>
      <c r="B4" s="9" t="s">
        <v>1558</v>
      </c>
      <c r="C4" s="9"/>
      <c r="D4" s="9" t="s">
        <v>1559</v>
      </c>
      <c r="E4" s="9" t="s">
        <v>373</v>
      </c>
      <c r="F4" s="11">
        <v>43490</v>
      </c>
      <c r="G4" s="10" t="s">
        <v>1560</v>
      </c>
      <c r="H4" s="10"/>
      <c r="I4" s="10" t="s">
        <v>488</v>
      </c>
      <c r="J4" s="10" t="s">
        <v>543</v>
      </c>
    </row>
    <row r="5" spans="1:10" x14ac:dyDescent="0.35">
      <c r="A5" s="9">
        <v>2</v>
      </c>
      <c r="B5" s="9" t="s">
        <v>1561</v>
      </c>
      <c r="C5" s="9"/>
      <c r="D5" s="9" t="s">
        <v>1559</v>
      </c>
      <c r="E5" s="9" t="s">
        <v>373</v>
      </c>
      <c r="F5" s="11">
        <v>43490</v>
      </c>
      <c r="G5" s="10" t="s">
        <v>1560</v>
      </c>
      <c r="H5" s="10"/>
      <c r="I5" s="10" t="s">
        <v>488</v>
      </c>
      <c r="J5" s="10" t="s">
        <v>543</v>
      </c>
    </row>
    <row r="6" spans="1:10" x14ac:dyDescent="0.35">
      <c r="A6" s="9">
        <v>3</v>
      </c>
      <c r="B6" s="9" t="s">
        <v>1562</v>
      </c>
      <c r="C6" s="9"/>
      <c r="D6" s="9" t="s">
        <v>1563</v>
      </c>
      <c r="E6" s="9" t="s">
        <v>1564</v>
      </c>
      <c r="F6" s="11">
        <v>43490</v>
      </c>
      <c r="G6" s="10" t="s">
        <v>1560</v>
      </c>
      <c r="H6" s="10"/>
      <c r="I6" s="10" t="s">
        <v>488</v>
      </c>
      <c r="J6" s="10" t="s">
        <v>543</v>
      </c>
    </row>
    <row r="7" spans="1:10" ht="29" x14ac:dyDescent="0.35">
      <c r="A7" s="9">
        <v>4</v>
      </c>
      <c r="B7" s="9" t="s">
        <v>1565</v>
      </c>
      <c r="C7" s="9"/>
      <c r="D7" s="9" t="s">
        <v>550</v>
      </c>
      <c r="E7" s="10" t="s">
        <v>1566</v>
      </c>
      <c r="F7" s="11">
        <v>43528</v>
      </c>
      <c r="G7" s="10" t="s">
        <v>1567</v>
      </c>
      <c r="H7" s="10"/>
      <c r="I7" s="10" t="s">
        <v>488</v>
      </c>
      <c r="J7" s="10" t="s">
        <v>543</v>
      </c>
    </row>
    <row r="8" spans="1:10" x14ac:dyDescent="0.35">
      <c r="A8" s="9">
        <v>5</v>
      </c>
      <c r="B8" s="9" t="s">
        <v>1568</v>
      </c>
      <c r="C8" s="9"/>
      <c r="D8" s="9" t="s">
        <v>486</v>
      </c>
      <c r="E8" s="10" t="s">
        <v>487</v>
      </c>
      <c r="F8" s="11">
        <v>43529</v>
      </c>
      <c r="G8" s="10" t="s">
        <v>1569</v>
      </c>
      <c r="H8" s="10"/>
      <c r="I8" s="10" t="s">
        <v>488</v>
      </c>
      <c r="J8" s="10" t="s">
        <v>1570</v>
      </c>
    </row>
    <row r="9" spans="1:10" x14ac:dyDescent="0.35">
      <c r="A9" s="9">
        <v>6</v>
      </c>
      <c r="B9" s="9" t="s">
        <v>1571</v>
      </c>
      <c r="C9" s="9"/>
      <c r="D9" s="9" t="s">
        <v>1572</v>
      </c>
      <c r="E9" s="9" t="s">
        <v>1564</v>
      </c>
      <c r="F9" s="11">
        <v>43488</v>
      </c>
      <c r="G9" s="10" t="s">
        <v>488</v>
      </c>
      <c r="H9" s="10"/>
      <c r="I9" s="10" t="s">
        <v>488</v>
      </c>
      <c r="J9" s="9" t="s">
        <v>1573</v>
      </c>
    </row>
    <row r="10" spans="1:10" ht="29" x14ac:dyDescent="0.35">
      <c r="A10" s="9">
        <v>7</v>
      </c>
      <c r="B10" s="10" t="s">
        <v>1574</v>
      </c>
      <c r="C10" s="10"/>
      <c r="D10" s="10" t="s">
        <v>1575</v>
      </c>
      <c r="E10" s="9" t="s">
        <v>1576</v>
      </c>
      <c r="F10" s="11">
        <v>43532</v>
      </c>
      <c r="G10" s="10" t="s">
        <v>1577</v>
      </c>
      <c r="H10" s="10"/>
      <c r="I10" s="10" t="s">
        <v>488</v>
      </c>
      <c r="J10" s="10" t="s">
        <v>1573</v>
      </c>
    </row>
    <row r="11" spans="1:10" x14ac:dyDescent="0.35">
      <c r="A11" s="9">
        <v>8</v>
      </c>
      <c r="B11" s="9" t="s">
        <v>1578</v>
      </c>
      <c r="C11" s="9"/>
      <c r="D11" s="9" t="s">
        <v>1572</v>
      </c>
      <c r="E11" s="9" t="s">
        <v>373</v>
      </c>
      <c r="F11" s="11">
        <v>43539</v>
      </c>
      <c r="G11" s="10" t="s">
        <v>1579</v>
      </c>
      <c r="H11" s="10"/>
      <c r="I11" s="10" t="s">
        <v>488</v>
      </c>
      <c r="J11" s="10" t="s">
        <v>543</v>
      </c>
    </row>
    <row r="12" spans="1:10" ht="29" x14ac:dyDescent="0.35">
      <c r="A12" s="9">
        <v>9</v>
      </c>
      <c r="B12" s="9" t="s">
        <v>1580</v>
      </c>
      <c r="C12" s="9"/>
      <c r="D12" s="9" t="s">
        <v>1581</v>
      </c>
      <c r="E12" s="9" t="s">
        <v>1582</v>
      </c>
      <c r="F12" s="11">
        <v>43507</v>
      </c>
      <c r="G12" s="10" t="s">
        <v>1583</v>
      </c>
      <c r="H12" s="10"/>
      <c r="I12" s="10" t="s">
        <v>488</v>
      </c>
      <c r="J12" s="10" t="s">
        <v>1584</v>
      </c>
    </row>
    <row r="13" spans="1:10" x14ac:dyDescent="0.35">
      <c r="A13" s="9">
        <v>10</v>
      </c>
      <c r="B13" s="9" t="s">
        <v>1585</v>
      </c>
      <c r="C13" s="9"/>
      <c r="D13" s="9" t="s">
        <v>177</v>
      </c>
      <c r="E13" s="10" t="s">
        <v>1586</v>
      </c>
      <c r="F13" s="11">
        <v>43504</v>
      </c>
      <c r="G13" s="10" t="s">
        <v>1587</v>
      </c>
      <c r="H13" s="10"/>
      <c r="I13" s="10" t="s">
        <v>488</v>
      </c>
      <c r="J13" s="10" t="s">
        <v>1584</v>
      </c>
    </row>
    <row r="14" spans="1:10" x14ac:dyDescent="0.35">
      <c r="A14" s="9">
        <v>11</v>
      </c>
      <c r="B14" s="9" t="s">
        <v>1588</v>
      </c>
      <c r="C14" s="9"/>
      <c r="D14" s="10" t="s">
        <v>1589</v>
      </c>
      <c r="E14" s="10" t="s">
        <v>1590</v>
      </c>
      <c r="F14" s="11">
        <v>43493</v>
      </c>
      <c r="G14" s="10" t="s">
        <v>1591</v>
      </c>
      <c r="H14" s="10"/>
      <c r="I14" s="10" t="s">
        <v>488</v>
      </c>
      <c r="J14" s="10" t="s">
        <v>461</v>
      </c>
    </row>
    <row r="15" spans="1:10" x14ac:dyDescent="0.35">
      <c r="A15" s="9">
        <v>12</v>
      </c>
      <c r="B15" s="9" t="s">
        <v>1592</v>
      </c>
      <c r="C15" s="9"/>
      <c r="D15" s="10" t="s">
        <v>589</v>
      </c>
      <c r="E15" s="10" t="s">
        <v>1593</v>
      </c>
      <c r="F15" s="11">
        <v>43504</v>
      </c>
      <c r="G15" s="10" t="s">
        <v>1594</v>
      </c>
      <c r="H15" s="10"/>
      <c r="I15" s="10" t="s">
        <v>488</v>
      </c>
      <c r="J15" s="10" t="s">
        <v>1584</v>
      </c>
    </row>
    <row r="16" spans="1:10" x14ac:dyDescent="0.35">
      <c r="A16" s="9">
        <v>13</v>
      </c>
      <c r="B16" s="10" t="s">
        <v>1595</v>
      </c>
      <c r="C16" s="10"/>
      <c r="D16" s="10" t="s">
        <v>1596</v>
      </c>
      <c r="E16" s="10" t="s">
        <v>1597</v>
      </c>
      <c r="F16" s="11" t="s">
        <v>1598</v>
      </c>
      <c r="G16" s="10" t="s">
        <v>1599</v>
      </c>
      <c r="H16" s="10"/>
      <c r="I16" s="10" t="s">
        <v>488</v>
      </c>
      <c r="J16" s="10" t="s">
        <v>1584</v>
      </c>
    </row>
    <row r="17" spans="1:10" x14ac:dyDescent="0.35">
      <c r="A17" s="9">
        <v>14</v>
      </c>
      <c r="B17" s="10" t="s">
        <v>1600</v>
      </c>
      <c r="C17" s="10"/>
      <c r="D17" s="10" t="s">
        <v>1596</v>
      </c>
      <c r="E17" s="10" t="s">
        <v>1597</v>
      </c>
      <c r="F17" s="11" t="s">
        <v>1601</v>
      </c>
      <c r="G17" s="10" t="s">
        <v>1599</v>
      </c>
      <c r="H17" s="10"/>
      <c r="I17" s="10" t="s">
        <v>488</v>
      </c>
      <c r="J17" s="10" t="s">
        <v>1584</v>
      </c>
    </row>
    <row r="18" spans="1:10" x14ac:dyDescent="0.35">
      <c r="A18" s="9">
        <v>15</v>
      </c>
      <c r="B18" s="9" t="s">
        <v>1602</v>
      </c>
      <c r="C18" s="9"/>
      <c r="D18" s="10" t="s">
        <v>536</v>
      </c>
      <c r="E18" s="10" t="s">
        <v>1603</v>
      </c>
      <c r="F18" s="11" t="s">
        <v>1604</v>
      </c>
      <c r="G18" s="10" t="s">
        <v>1599</v>
      </c>
      <c r="H18" s="10"/>
      <c r="I18" s="10" t="s">
        <v>488</v>
      </c>
      <c r="J18" s="10" t="s">
        <v>1570</v>
      </c>
    </row>
    <row r="19" spans="1:10" x14ac:dyDescent="0.35">
      <c r="A19" s="9">
        <v>16</v>
      </c>
      <c r="B19" s="10" t="s">
        <v>1605</v>
      </c>
      <c r="C19" s="10"/>
      <c r="D19" s="10" t="s">
        <v>1581</v>
      </c>
      <c r="E19" s="10" t="s">
        <v>1603</v>
      </c>
      <c r="F19" s="11" t="s">
        <v>1601</v>
      </c>
      <c r="G19" s="10" t="s">
        <v>228</v>
      </c>
      <c r="H19" s="10"/>
      <c r="I19" s="10" t="s">
        <v>488</v>
      </c>
      <c r="J19" s="10" t="s">
        <v>1584</v>
      </c>
    </row>
    <row r="20" spans="1:10" x14ac:dyDescent="0.35">
      <c r="A20" s="9">
        <v>17</v>
      </c>
      <c r="B20" s="10" t="s">
        <v>1606</v>
      </c>
      <c r="C20" s="10"/>
      <c r="D20" s="10" t="s">
        <v>1607</v>
      </c>
      <c r="E20" s="10" t="s">
        <v>555</v>
      </c>
      <c r="F20" s="11" t="s">
        <v>1608</v>
      </c>
      <c r="G20" s="10" t="s">
        <v>458</v>
      </c>
      <c r="H20" s="10"/>
      <c r="I20" s="10" t="s">
        <v>488</v>
      </c>
      <c r="J20" s="9" t="s">
        <v>96</v>
      </c>
    </row>
    <row r="21" spans="1:10" s="16" customFormat="1" ht="69" customHeight="1" x14ac:dyDescent="0.35">
      <c r="A21" s="9">
        <v>18</v>
      </c>
      <c r="B21" s="10" t="s">
        <v>1609</v>
      </c>
      <c r="C21" s="10"/>
      <c r="D21" s="10" t="s">
        <v>1596</v>
      </c>
      <c r="E21" s="10" t="s">
        <v>1597</v>
      </c>
      <c r="F21" s="11" t="s">
        <v>1601</v>
      </c>
      <c r="G21" s="10" t="s">
        <v>1610</v>
      </c>
      <c r="H21" s="10" t="s">
        <v>1611</v>
      </c>
      <c r="I21" s="10" t="s">
        <v>488</v>
      </c>
      <c r="J21" s="10" t="s">
        <v>1612</v>
      </c>
    </row>
    <row r="22" spans="1:10" ht="57.75" customHeight="1" x14ac:dyDescent="0.35">
      <c r="A22" s="9">
        <v>19</v>
      </c>
      <c r="B22" s="10" t="s">
        <v>1613</v>
      </c>
      <c r="C22" s="10"/>
      <c r="D22" s="10" t="s">
        <v>1614</v>
      </c>
      <c r="E22" s="10" t="s">
        <v>1603</v>
      </c>
      <c r="F22" s="11">
        <v>43686</v>
      </c>
      <c r="G22" s="10" t="s">
        <v>1615</v>
      </c>
      <c r="H22" s="10"/>
      <c r="I22" s="10" t="s">
        <v>488</v>
      </c>
      <c r="J22" s="10" t="s">
        <v>543</v>
      </c>
    </row>
    <row r="23" spans="1:10" x14ac:dyDescent="0.35">
      <c r="A23" s="9">
        <v>20</v>
      </c>
      <c r="B23" s="10" t="s">
        <v>1616</v>
      </c>
      <c r="C23" s="10"/>
      <c r="D23" s="10" t="s">
        <v>1617</v>
      </c>
      <c r="E23" s="10" t="s">
        <v>1603</v>
      </c>
      <c r="F23" s="11"/>
      <c r="G23" s="10" t="s">
        <v>488</v>
      </c>
      <c r="H23" s="10"/>
      <c r="I23" s="10" t="s">
        <v>488</v>
      </c>
      <c r="J23" s="10" t="s">
        <v>1618</v>
      </c>
    </row>
    <row r="24" spans="1:10" x14ac:dyDescent="0.35">
      <c r="A24" s="9">
        <v>21</v>
      </c>
      <c r="B24" s="10" t="s">
        <v>1619</v>
      </c>
      <c r="C24" s="10"/>
      <c r="D24" s="10" t="s">
        <v>530</v>
      </c>
      <c r="E24" s="10" t="s">
        <v>531</v>
      </c>
      <c r="F24" s="30"/>
      <c r="G24" s="10" t="s">
        <v>488</v>
      </c>
      <c r="H24" s="10"/>
      <c r="I24" s="10" t="s">
        <v>488</v>
      </c>
      <c r="J24" s="10" t="s">
        <v>1570</v>
      </c>
    </row>
    <row r="25" spans="1:10" ht="57" customHeight="1" x14ac:dyDescent="0.35">
      <c r="A25" s="9">
        <v>22</v>
      </c>
      <c r="B25" s="10" t="s">
        <v>1620</v>
      </c>
      <c r="C25" s="10"/>
      <c r="D25" s="10" t="s">
        <v>1621</v>
      </c>
      <c r="E25" s="10" t="s">
        <v>373</v>
      </c>
      <c r="F25" s="11" t="s">
        <v>590</v>
      </c>
      <c r="G25" s="10" t="s">
        <v>488</v>
      </c>
      <c r="H25" s="10"/>
      <c r="I25" s="10" t="s">
        <v>488</v>
      </c>
      <c r="J25" s="10" t="s">
        <v>543</v>
      </c>
    </row>
    <row r="26" spans="1:10" s="16" customFormat="1" ht="89.25" customHeight="1" x14ac:dyDescent="0.35">
      <c r="A26" s="9">
        <v>23</v>
      </c>
      <c r="B26" s="10" t="s">
        <v>1622</v>
      </c>
      <c r="C26" s="10"/>
      <c r="D26" s="10" t="s">
        <v>1572</v>
      </c>
      <c r="E26" s="10" t="s">
        <v>487</v>
      </c>
      <c r="F26" s="11">
        <v>43579</v>
      </c>
      <c r="G26" s="10" t="s">
        <v>488</v>
      </c>
      <c r="H26" s="22"/>
      <c r="I26" s="10" t="s">
        <v>488</v>
      </c>
      <c r="J26" s="10" t="s">
        <v>461</v>
      </c>
    </row>
    <row r="27" spans="1:10" s="41" customFormat="1" ht="85.5" customHeight="1" x14ac:dyDescent="0.35">
      <c r="A27" s="9">
        <v>24</v>
      </c>
      <c r="B27" s="38" t="s">
        <v>1623</v>
      </c>
      <c r="C27" s="38"/>
      <c r="D27" s="38" t="s">
        <v>648</v>
      </c>
      <c r="E27" s="38" t="s">
        <v>373</v>
      </c>
      <c r="F27" s="39"/>
      <c r="G27" s="38" t="s">
        <v>1624</v>
      </c>
      <c r="H27" s="38"/>
      <c r="I27" s="10" t="s">
        <v>488</v>
      </c>
      <c r="J27" s="38" t="s">
        <v>543</v>
      </c>
    </row>
    <row r="28" spans="1:10" s="16" customFormat="1" x14ac:dyDescent="0.35">
      <c r="A28" s="9">
        <v>25</v>
      </c>
      <c r="B28" s="10" t="s">
        <v>1625</v>
      </c>
      <c r="C28" s="10"/>
      <c r="D28" s="10" t="s">
        <v>536</v>
      </c>
      <c r="E28" s="10" t="s">
        <v>464</v>
      </c>
      <c r="F28" s="11" t="s">
        <v>1626</v>
      </c>
      <c r="G28" s="10" t="s">
        <v>1627</v>
      </c>
      <c r="H28" s="10"/>
      <c r="I28" s="10" t="s">
        <v>488</v>
      </c>
      <c r="J28" s="10" t="s">
        <v>1628</v>
      </c>
    </row>
    <row r="29" spans="1:10" s="16" customFormat="1" x14ac:dyDescent="0.35">
      <c r="A29" s="9">
        <v>26</v>
      </c>
      <c r="B29" s="10" t="s">
        <v>1629</v>
      </c>
      <c r="C29" s="10"/>
      <c r="D29" s="10" t="s">
        <v>599</v>
      </c>
      <c r="E29" s="10" t="s">
        <v>373</v>
      </c>
      <c r="F29" s="11" t="s">
        <v>1630</v>
      </c>
      <c r="G29" s="10" t="s">
        <v>1631</v>
      </c>
      <c r="H29" s="10"/>
      <c r="I29" s="10" t="s">
        <v>488</v>
      </c>
      <c r="J29" s="10" t="s">
        <v>1632</v>
      </c>
    </row>
    <row r="30" spans="1:10" s="29" customFormat="1" ht="77.25" customHeight="1" x14ac:dyDescent="0.35">
      <c r="A30" s="9">
        <v>27</v>
      </c>
      <c r="B30" s="10" t="s">
        <v>1633</v>
      </c>
      <c r="C30" s="10"/>
      <c r="D30" s="10" t="s">
        <v>1634</v>
      </c>
      <c r="E30" s="10" t="s">
        <v>373</v>
      </c>
      <c r="F30" s="10" t="s">
        <v>1635</v>
      </c>
      <c r="G30" s="10" t="s">
        <v>1636</v>
      </c>
      <c r="H30" s="10"/>
      <c r="I30" s="10" t="s">
        <v>488</v>
      </c>
      <c r="J30" s="10" t="s">
        <v>543</v>
      </c>
    </row>
    <row r="31" spans="1:10" s="29" customFormat="1" ht="43.5" customHeight="1" x14ac:dyDescent="0.35">
      <c r="A31" s="9">
        <v>28</v>
      </c>
      <c r="B31" s="10" t="s">
        <v>1637</v>
      </c>
      <c r="C31" s="10"/>
      <c r="D31" s="10" t="s">
        <v>1638</v>
      </c>
      <c r="E31" s="10" t="s">
        <v>1639</v>
      </c>
      <c r="F31" s="52"/>
      <c r="G31" s="10" t="s">
        <v>1640</v>
      </c>
      <c r="H31" s="10"/>
      <c r="I31" s="10" t="s">
        <v>488</v>
      </c>
      <c r="J31" s="9" t="s">
        <v>461</v>
      </c>
    </row>
    <row r="32" spans="1:10" s="41" customFormat="1" ht="58" x14ac:dyDescent="0.35">
      <c r="A32" s="9">
        <v>29</v>
      </c>
      <c r="B32" s="38" t="s">
        <v>1641</v>
      </c>
      <c r="C32" s="38"/>
      <c r="D32" s="38" t="s">
        <v>632</v>
      </c>
      <c r="E32" s="38" t="s">
        <v>373</v>
      </c>
      <c r="F32" s="53" t="s">
        <v>1626</v>
      </c>
      <c r="G32" s="54" t="s">
        <v>1642</v>
      </c>
      <c r="H32" s="38" t="s">
        <v>1643</v>
      </c>
      <c r="I32" s="10" t="s">
        <v>488</v>
      </c>
      <c r="J32" s="38" t="s">
        <v>543</v>
      </c>
    </row>
    <row r="33" spans="1:10" s="16" customFormat="1" ht="29" x14ac:dyDescent="0.35">
      <c r="A33" s="9">
        <v>30</v>
      </c>
      <c r="B33" s="10" t="s">
        <v>1644</v>
      </c>
      <c r="C33" s="10"/>
      <c r="D33" s="10" t="s">
        <v>1645</v>
      </c>
      <c r="E33" s="10" t="s">
        <v>373</v>
      </c>
      <c r="F33" s="52" t="s">
        <v>1646</v>
      </c>
      <c r="G33" s="10" t="s">
        <v>1647</v>
      </c>
      <c r="H33" s="10" t="s">
        <v>1648</v>
      </c>
      <c r="I33" s="10" t="s">
        <v>488</v>
      </c>
      <c r="J33" s="10" t="s">
        <v>461</v>
      </c>
    </row>
    <row r="34" spans="1:10" s="16" customFormat="1" x14ac:dyDescent="0.35">
      <c r="A34" s="9">
        <v>31</v>
      </c>
      <c r="B34" s="10" t="s">
        <v>1649</v>
      </c>
      <c r="C34" s="10"/>
      <c r="D34" s="10" t="s">
        <v>456</v>
      </c>
      <c r="E34" s="10" t="s">
        <v>373</v>
      </c>
      <c r="F34" s="52"/>
      <c r="G34" s="10" t="s">
        <v>1650</v>
      </c>
      <c r="H34" s="10" t="s">
        <v>458</v>
      </c>
      <c r="I34" s="10" t="s">
        <v>488</v>
      </c>
      <c r="J34" s="10" t="s">
        <v>461</v>
      </c>
    </row>
    <row r="35" spans="1:10" x14ac:dyDescent="0.35">
      <c r="A35" s="9">
        <v>32</v>
      </c>
      <c r="B35" s="10" t="s">
        <v>1651</v>
      </c>
      <c r="C35" s="10"/>
      <c r="D35" s="10" t="s">
        <v>1652</v>
      </c>
      <c r="E35" s="10" t="s">
        <v>594</v>
      </c>
      <c r="F35" s="55"/>
      <c r="G35" s="10" t="s">
        <v>1653</v>
      </c>
      <c r="H35" s="10"/>
      <c r="I35" s="10" t="s">
        <v>488</v>
      </c>
      <c r="J35" s="9" t="s">
        <v>1570</v>
      </c>
    </row>
    <row r="36" spans="1:10" s="29" customFormat="1" ht="29" x14ac:dyDescent="0.35">
      <c r="A36" s="9">
        <v>33</v>
      </c>
      <c r="B36" s="10" t="s">
        <v>1654</v>
      </c>
      <c r="C36" s="10"/>
      <c r="D36" s="10" t="s">
        <v>1575</v>
      </c>
      <c r="E36" s="10"/>
      <c r="F36" s="55"/>
      <c r="G36" s="10" t="s">
        <v>1655</v>
      </c>
      <c r="H36" s="55"/>
      <c r="I36" s="10" t="s">
        <v>488</v>
      </c>
      <c r="J36" s="9" t="s">
        <v>461</v>
      </c>
    </row>
    <row r="37" spans="1:10" s="29" customFormat="1" x14ac:dyDescent="0.35">
      <c r="A37" s="9">
        <v>34</v>
      </c>
      <c r="B37" s="9" t="s">
        <v>1656</v>
      </c>
      <c r="C37" s="9"/>
      <c r="D37" s="10" t="s">
        <v>1657</v>
      </c>
      <c r="E37" s="10" t="s">
        <v>594</v>
      </c>
      <c r="F37" s="10" t="s">
        <v>1658</v>
      </c>
      <c r="G37" s="55"/>
      <c r="H37" s="55"/>
      <c r="I37" s="10" t="s">
        <v>488</v>
      </c>
      <c r="J37" s="9" t="s">
        <v>543</v>
      </c>
    </row>
    <row r="38" spans="1:10" s="29" customFormat="1" ht="29" x14ac:dyDescent="0.35">
      <c r="A38" s="9">
        <v>35</v>
      </c>
      <c r="B38" s="10" t="s">
        <v>1659</v>
      </c>
      <c r="C38" s="10"/>
      <c r="D38" s="10" t="s">
        <v>520</v>
      </c>
      <c r="E38" s="10" t="s">
        <v>373</v>
      </c>
      <c r="F38" s="52"/>
      <c r="G38" s="10" t="s">
        <v>1660</v>
      </c>
      <c r="H38" s="10" t="s">
        <v>1661</v>
      </c>
      <c r="I38" s="10" t="s">
        <v>488</v>
      </c>
      <c r="J38" s="10" t="s">
        <v>461</v>
      </c>
    </row>
    <row r="39" spans="1:10" s="35" customFormat="1" x14ac:dyDescent="0.35">
      <c r="A39" s="9">
        <v>36</v>
      </c>
      <c r="B39" s="24" t="s">
        <v>1662</v>
      </c>
      <c r="C39" s="24"/>
      <c r="D39" s="24" t="s">
        <v>1589</v>
      </c>
      <c r="E39" s="24" t="s">
        <v>373</v>
      </c>
      <c r="F39" s="46"/>
      <c r="G39" s="24" t="s">
        <v>1663</v>
      </c>
      <c r="H39" s="24" t="s">
        <v>1664</v>
      </c>
      <c r="I39" s="10" t="s">
        <v>488</v>
      </c>
      <c r="J39" s="24" t="s">
        <v>543</v>
      </c>
    </row>
    <row r="40" spans="1:10" s="94" customFormat="1" ht="18" customHeight="1" x14ac:dyDescent="0.35">
      <c r="A40" s="9">
        <v>37</v>
      </c>
      <c r="B40" s="24" t="s">
        <v>1665</v>
      </c>
      <c r="C40" s="24"/>
      <c r="D40" s="24" t="s">
        <v>536</v>
      </c>
      <c r="E40" s="24" t="s">
        <v>1603</v>
      </c>
      <c r="F40" s="46" t="s">
        <v>1666</v>
      </c>
      <c r="G40" s="24"/>
      <c r="H40" s="24"/>
      <c r="I40" s="10" t="s">
        <v>488</v>
      </c>
      <c r="J40" s="24" t="s">
        <v>543</v>
      </c>
    </row>
    <row r="41" spans="1:10" s="49" customFormat="1" ht="45" customHeight="1" x14ac:dyDescent="0.35">
      <c r="A41" s="9">
        <v>38</v>
      </c>
      <c r="B41" s="23" t="s">
        <v>1667</v>
      </c>
      <c r="C41" s="23"/>
      <c r="D41" s="24" t="s">
        <v>654</v>
      </c>
      <c r="E41" s="24" t="s">
        <v>1668</v>
      </c>
      <c r="F41" s="24"/>
      <c r="G41" s="24"/>
      <c r="H41" s="96" t="s">
        <v>1669</v>
      </c>
      <c r="I41" s="10" t="s">
        <v>488</v>
      </c>
      <c r="J41" s="24" t="s">
        <v>587</v>
      </c>
    </row>
    <row r="42" spans="1:10" s="103" customFormat="1" ht="15.5" x14ac:dyDescent="0.35">
      <c r="A42" s="9">
        <v>39</v>
      </c>
      <c r="B42" s="38" t="s">
        <v>1670</v>
      </c>
      <c r="C42" s="38"/>
      <c r="D42" s="38" t="s">
        <v>1671</v>
      </c>
      <c r="E42" s="38" t="s">
        <v>373</v>
      </c>
      <c r="F42" s="53"/>
      <c r="G42" s="38" t="s">
        <v>1672</v>
      </c>
      <c r="H42" s="38"/>
      <c r="I42" s="10" t="s">
        <v>488</v>
      </c>
      <c r="J42" s="38" t="s">
        <v>543</v>
      </c>
    </row>
    <row r="43" spans="1:10" x14ac:dyDescent="0.35">
      <c r="A43" s="9">
        <v>40</v>
      </c>
      <c r="B43" s="24" t="s">
        <v>1673</v>
      </c>
      <c r="C43" s="24"/>
      <c r="D43" s="24" t="s">
        <v>1563</v>
      </c>
      <c r="E43" s="24" t="s">
        <v>1674</v>
      </c>
      <c r="F43" s="46"/>
      <c r="G43" s="24"/>
      <c r="H43" s="24"/>
      <c r="I43" s="10" t="s">
        <v>488</v>
      </c>
      <c r="J43" s="38" t="s">
        <v>543</v>
      </c>
    </row>
    <row r="44" spans="1:10" ht="18" customHeight="1" x14ac:dyDescent="0.35">
      <c r="A44" s="9">
        <v>41</v>
      </c>
      <c r="B44" s="9" t="s">
        <v>1675</v>
      </c>
      <c r="C44" s="9"/>
      <c r="D44" s="23"/>
      <c r="E44" s="24" t="s">
        <v>1676</v>
      </c>
      <c r="F44" s="24"/>
      <c r="G44" s="96" t="s">
        <v>464</v>
      </c>
      <c r="H44" s="24"/>
      <c r="I44" s="10" t="s">
        <v>488</v>
      </c>
      <c r="J44" s="96"/>
    </row>
    <row r="45" spans="1:10" x14ac:dyDescent="0.35">
      <c r="A45" s="9">
        <v>42</v>
      </c>
      <c r="B45" s="38" t="s">
        <v>1117</v>
      </c>
      <c r="C45" s="38"/>
      <c r="D45" s="23"/>
      <c r="E45" s="121" t="s">
        <v>1677</v>
      </c>
      <c r="F45" s="116"/>
      <c r="G45" s="121" t="s">
        <v>1678</v>
      </c>
      <c r="H45" s="37"/>
      <c r="I45" s="10" t="s">
        <v>488</v>
      </c>
      <c r="J45" s="37" t="s">
        <v>587</v>
      </c>
    </row>
    <row r="46" spans="1:10" s="129" customFormat="1" ht="45" customHeight="1" x14ac:dyDescent="0.35">
      <c r="A46" s="9">
        <v>43</v>
      </c>
      <c r="B46" s="38" t="s">
        <v>1679</v>
      </c>
      <c r="C46" s="38"/>
      <c r="D46" s="38" t="s">
        <v>624</v>
      </c>
      <c r="E46" s="141">
        <v>83000000</v>
      </c>
      <c r="F46" s="38" t="s">
        <v>1680</v>
      </c>
      <c r="G46" s="38"/>
      <c r="H46" s="38" t="s">
        <v>1681</v>
      </c>
      <c r="I46" s="10" t="s">
        <v>488</v>
      </c>
      <c r="J46" s="38" t="s">
        <v>543</v>
      </c>
    </row>
    <row r="47" spans="1:10" ht="29" x14ac:dyDescent="0.35">
      <c r="A47" s="9">
        <v>44</v>
      </c>
      <c r="B47" s="38" t="s">
        <v>1682</v>
      </c>
      <c r="C47" s="38"/>
      <c r="D47" s="38" t="s">
        <v>1683</v>
      </c>
      <c r="E47" s="38" t="s">
        <v>1684</v>
      </c>
      <c r="F47" s="53"/>
      <c r="G47" s="38" t="s">
        <v>1685</v>
      </c>
      <c r="H47" s="38"/>
      <c r="I47" s="10" t="s">
        <v>488</v>
      </c>
      <c r="J47" s="38" t="s">
        <v>543</v>
      </c>
    </row>
    <row r="48" spans="1:10" ht="43.5" x14ac:dyDescent="0.35">
      <c r="A48" s="9">
        <v>45</v>
      </c>
      <c r="B48" s="24" t="s">
        <v>1686</v>
      </c>
      <c r="C48" s="24"/>
      <c r="D48" s="24" t="s">
        <v>177</v>
      </c>
      <c r="E48" s="24" t="s">
        <v>1603</v>
      </c>
      <c r="F48" s="46"/>
      <c r="G48" s="24" t="s">
        <v>1687</v>
      </c>
      <c r="H48" s="24" t="s">
        <v>1688</v>
      </c>
      <c r="I48" s="10" t="s">
        <v>488</v>
      </c>
      <c r="J48" s="23" t="s">
        <v>543</v>
      </c>
    </row>
    <row r="49" spans="1:10" x14ac:dyDescent="0.35">
      <c r="A49" s="9">
        <v>46</v>
      </c>
      <c r="B49" s="38" t="s">
        <v>1689</v>
      </c>
      <c r="C49" s="38"/>
      <c r="D49" s="117" t="s">
        <v>1690</v>
      </c>
      <c r="E49" s="23"/>
      <c r="F49" s="37"/>
      <c r="G49" s="116"/>
      <c r="H49" s="37"/>
      <c r="I49" s="10" t="s">
        <v>488</v>
      </c>
      <c r="J49" s="23" t="s">
        <v>543</v>
      </c>
    </row>
    <row r="50" spans="1:10" ht="43.5" x14ac:dyDescent="0.35">
      <c r="A50" s="9">
        <v>47</v>
      </c>
      <c r="B50" s="38" t="s">
        <v>1691</v>
      </c>
      <c r="C50" s="38"/>
      <c r="D50" s="116" t="s">
        <v>1690</v>
      </c>
      <c r="E50" s="23"/>
      <c r="F50" s="37"/>
      <c r="G50" s="116"/>
      <c r="H50" s="77" t="s">
        <v>1692</v>
      </c>
      <c r="I50" s="10" t="s">
        <v>488</v>
      </c>
      <c r="J50" s="23" t="s">
        <v>543</v>
      </c>
    </row>
    <row r="51" spans="1:10" s="35" customFormat="1" ht="29" x14ac:dyDescent="0.35">
      <c r="A51" s="9">
        <v>48</v>
      </c>
      <c r="B51" s="24" t="s">
        <v>1693</v>
      </c>
      <c r="C51" s="24"/>
      <c r="D51" s="24" t="s">
        <v>456</v>
      </c>
      <c r="E51" s="24" t="s">
        <v>373</v>
      </c>
      <c r="F51" s="46"/>
      <c r="G51" s="24" t="s">
        <v>1694</v>
      </c>
      <c r="H51" s="24" t="s">
        <v>458</v>
      </c>
      <c r="I51" s="10" t="s">
        <v>488</v>
      </c>
      <c r="J51" s="24" t="s">
        <v>461</v>
      </c>
    </row>
    <row r="52" spans="1:10" s="49" customFormat="1" ht="57" customHeight="1" x14ac:dyDescent="0.35">
      <c r="A52" s="9">
        <v>49</v>
      </c>
      <c r="B52" s="38" t="s">
        <v>1695</v>
      </c>
      <c r="C52" s="38"/>
      <c r="D52" s="116" t="s">
        <v>632</v>
      </c>
      <c r="E52" s="121" t="s">
        <v>1696</v>
      </c>
      <c r="F52" s="37"/>
      <c r="G52" s="117"/>
      <c r="H52" s="37"/>
      <c r="I52" s="10" t="s">
        <v>488</v>
      </c>
      <c r="J52" s="23" t="s">
        <v>543</v>
      </c>
    </row>
    <row r="53" spans="1:10" s="49" customFormat="1" x14ac:dyDescent="0.35">
      <c r="A53" s="9">
        <v>50</v>
      </c>
      <c r="B53" s="10" t="s">
        <v>1697</v>
      </c>
      <c r="C53" s="10"/>
      <c r="D53" s="116" t="s">
        <v>1671</v>
      </c>
      <c r="E53" s="23"/>
      <c r="F53" s="37"/>
      <c r="G53" s="116"/>
      <c r="H53" s="169" t="s">
        <v>1698</v>
      </c>
      <c r="I53" s="10" t="s">
        <v>488</v>
      </c>
      <c r="J53" s="23" t="s">
        <v>543</v>
      </c>
    </row>
    <row r="54" spans="1:10" s="193" customFormat="1" ht="14.25" customHeight="1" x14ac:dyDescent="0.3">
      <c r="A54" s="191">
        <v>51</v>
      </c>
      <c r="B54" s="192" t="s">
        <v>1699</v>
      </c>
      <c r="C54" s="192"/>
      <c r="D54" s="192" t="s">
        <v>1575</v>
      </c>
      <c r="E54" s="192" t="s">
        <v>403</v>
      </c>
      <c r="F54" s="192"/>
      <c r="G54" s="192"/>
      <c r="H54" s="192"/>
      <c r="I54" s="10" t="s">
        <v>488</v>
      </c>
      <c r="J54" s="23" t="s">
        <v>543</v>
      </c>
    </row>
    <row r="55" spans="1:10" ht="14.25" customHeight="1" x14ac:dyDescent="0.35">
      <c r="A55" s="196">
        <v>52</v>
      </c>
      <c r="B55" s="38" t="s">
        <v>1700</v>
      </c>
      <c r="C55" s="38"/>
      <c r="D55" s="38" t="s">
        <v>1701</v>
      </c>
      <c r="E55" s="38" t="s">
        <v>551</v>
      </c>
      <c r="F55" s="38"/>
      <c r="G55" s="38"/>
      <c r="H55" s="38"/>
      <c r="I55" s="10" t="s">
        <v>488</v>
      </c>
      <c r="J55" s="23" t="s">
        <v>543</v>
      </c>
    </row>
    <row r="56" spans="1:10" x14ac:dyDescent="0.35">
      <c r="A56" s="196">
        <v>53</v>
      </c>
      <c r="B56" s="38" t="s">
        <v>1702</v>
      </c>
      <c r="C56" s="38"/>
      <c r="D56" s="38" t="s">
        <v>969</v>
      </c>
      <c r="E56" s="38"/>
      <c r="F56" s="38"/>
      <c r="G56" s="38"/>
      <c r="H56" s="38"/>
      <c r="I56" s="197" t="s">
        <v>1703</v>
      </c>
      <c r="J56" s="38" t="s">
        <v>461</v>
      </c>
    </row>
    <row r="57" spans="1:10" s="193" customFormat="1" ht="13" x14ac:dyDescent="0.3">
      <c r="A57" s="191">
        <v>54</v>
      </c>
      <c r="B57" s="192" t="s">
        <v>1704</v>
      </c>
      <c r="C57" s="192"/>
      <c r="D57" s="202" t="s">
        <v>569</v>
      </c>
      <c r="E57" s="203" t="s">
        <v>594</v>
      </c>
      <c r="F57" s="204"/>
      <c r="G57" s="205"/>
      <c r="H57" s="204"/>
      <c r="I57" s="206"/>
      <c r="J57" s="207" t="s">
        <v>543</v>
      </c>
    </row>
    <row r="58" spans="1:10" s="16" customFormat="1" ht="29" x14ac:dyDescent="0.35">
      <c r="A58" s="23">
        <v>16</v>
      </c>
      <c r="B58" s="10" t="s">
        <v>1705</v>
      </c>
      <c r="C58" s="10"/>
      <c r="D58" s="9" t="s">
        <v>1706</v>
      </c>
      <c r="E58" s="10" t="s">
        <v>1707</v>
      </c>
      <c r="F58" s="217"/>
      <c r="G58" s="9"/>
      <c r="H58" s="217"/>
      <c r="I58" s="217" t="s">
        <v>1708</v>
      </c>
      <c r="J58" s="10" t="s">
        <v>543</v>
      </c>
    </row>
    <row r="59" spans="1:10" ht="29" x14ac:dyDescent="0.35">
      <c r="A59" s="23">
        <v>8</v>
      </c>
      <c r="B59" s="38" t="s">
        <v>1709</v>
      </c>
      <c r="C59" s="234">
        <v>155474220</v>
      </c>
      <c r="D59" s="38" t="s">
        <v>1710</v>
      </c>
      <c r="E59" s="233" t="s">
        <v>228</v>
      </c>
      <c r="F59" s="38"/>
      <c r="G59" s="38" t="s">
        <v>403</v>
      </c>
      <c r="H59" s="234"/>
      <c r="I59" s="38"/>
      <c r="J59" s="38"/>
    </row>
    <row r="60" spans="1:10" x14ac:dyDescent="0.35">
      <c r="A60" s="23">
        <v>9</v>
      </c>
      <c r="B60" s="38" t="s">
        <v>1711</v>
      </c>
      <c r="C60" s="234">
        <v>269660200</v>
      </c>
      <c r="D60" s="38" t="s">
        <v>1652</v>
      </c>
      <c r="E60" s="233" t="s">
        <v>228</v>
      </c>
      <c r="F60" s="88"/>
      <c r="G60" s="38"/>
      <c r="H60" s="54" t="s">
        <v>1712</v>
      </c>
      <c r="I60" s="38" t="s">
        <v>488</v>
      </c>
      <c r="J60" s="38"/>
    </row>
    <row r="61" spans="1:10" x14ac:dyDescent="0.35">
      <c r="A61" s="23">
        <v>10</v>
      </c>
      <c r="B61" s="38" t="s">
        <v>1713</v>
      </c>
      <c r="C61" s="234">
        <v>346900800</v>
      </c>
      <c r="D61" s="38" t="s">
        <v>1652</v>
      </c>
      <c r="E61" s="233" t="s">
        <v>228</v>
      </c>
      <c r="F61" s="88"/>
      <c r="G61" s="38"/>
      <c r="H61" s="54" t="s">
        <v>1712</v>
      </c>
      <c r="I61" s="38" t="s">
        <v>488</v>
      </c>
      <c r="J61" s="38"/>
    </row>
    <row r="62" spans="1:10" x14ac:dyDescent="0.35">
      <c r="A62" s="23">
        <v>11</v>
      </c>
      <c r="B62" s="38" t="s">
        <v>1714</v>
      </c>
      <c r="C62" s="234">
        <v>146880900</v>
      </c>
      <c r="D62" s="38" t="s">
        <v>1652</v>
      </c>
      <c r="E62" s="233" t="s">
        <v>228</v>
      </c>
      <c r="F62" s="88"/>
      <c r="G62" s="38"/>
      <c r="H62" s="54" t="s">
        <v>1712</v>
      </c>
      <c r="I62" s="38" t="s">
        <v>488</v>
      </c>
      <c r="J62" s="38"/>
    </row>
    <row r="63" spans="1:10" x14ac:dyDescent="0.35">
      <c r="A63" s="23">
        <v>13</v>
      </c>
      <c r="B63" s="38" t="s">
        <v>1715</v>
      </c>
      <c r="C63" s="234">
        <v>75745000</v>
      </c>
      <c r="D63" s="116" t="s">
        <v>1716</v>
      </c>
      <c r="E63" s="233" t="s">
        <v>228</v>
      </c>
      <c r="F63" s="88"/>
      <c r="G63" s="24" t="s">
        <v>1717</v>
      </c>
      <c r="H63" s="37"/>
      <c r="I63" s="38" t="s">
        <v>488</v>
      </c>
      <c r="J63" s="37"/>
    </row>
    <row r="64" spans="1:10" ht="29" x14ac:dyDescent="0.35">
      <c r="A64" s="180">
        <v>14</v>
      </c>
      <c r="B64" s="235" t="s">
        <v>1718</v>
      </c>
      <c r="C64" s="236">
        <v>255489000</v>
      </c>
      <c r="D64" s="29" t="s">
        <v>1719</v>
      </c>
      <c r="E64" s="233" t="s">
        <v>228</v>
      </c>
      <c r="F64" s="88"/>
      <c r="G64" s="29" t="s">
        <v>403</v>
      </c>
      <c r="H64" s="235"/>
      <c r="I64" s="38" t="s">
        <v>488</v>
      </c>
      <c r="J64" s="29"/>
    </row>
    <row r="65" spans="1:14" x14ac:dyDescent="0.35">
      <c r="A65" s="180">
        <v>15</v>
      </c>
      <c r="B65" s="3" t="s">
        <v>1720</v>
      </c>
      <c r="C65" s="237">
        <f>43398700+5429250</f>
        <v>48827950</v>
      </c>
      <c r="D65" s="29" t="s">
        <v>599</v>
      </c>
      <c r="E65" s="233" t="s">
        <v>228</v>
      </c>
      <c r="F65" s="88"/>
      <c r="G65" s="3" t="s">
        <v>1721</v>
      </c>
      <c r="H65" s="3" t="s">
        <v>1722</v>
      </c>
      <c r="I65" s="38" t="s">
        <v>488</v>
      </c>
      <c r="J65" s="3"/>
    </row>
    <row r="66" spans="1:14" s="115" customFormat="1" ht="15.5" x14ac:dyDescent="0.35">
      <c r="A66" s="180">
        <v>16</v>
      </c>
      <c r="B66" s="183" t="s">
        <v>1723</v>
      </c>
      <c r="C66" s="238">
        <v>134000000</v>
      </c>
      <c r="D66" s="183" t="s">
        <v>456</v>
      </c>
      <c r="E66" s="183" t="s">
        <v>1724</v>
      </c>
      <c r="F66" s="199"/>
      <c r="G66" s="183" t="s">
        <v>1725</v>
      </c>
      <c r="H66" s="199" t="s">
        <v>1726</v>
      </c>
      <c r="I66" s="38" t="s">
        <v>488</v>
      </c>
      <c r="J66" s="242" t="s">
        <v>461</v>
      </c>
      <c r="K66"/>
      <c r="L66"/>
      <c r="M66"/>
      <c r="N66"/>
    </row>
    <row r="67" spans="1:14" s="241" customFormat="1" ht="31" x14ac:dyDescent="0.35">
      <c r="A67" s="180">
        <v>17</v>
      </c>
      <c r="B67" s="239" t="s">
        <v>1727</v>
      </c>
      <c r="C67" s="240">
        <v>10170600</v>
      </c>
      <c r="D67" s="261" t="s">
        <v>1728</v>
      </c>
      <c r="E67" s="239" t="s">
        <v>1729</v>
      </c>
      <c r="F67" s="239" t="s">
        <v>1730</v>
      </c>
      <c r="G67" s="239" t="s">
        <v>1731</v>
      </c>
      <c r="H67" s="239"/>
      <c r="I67" s="38" t="s">
        <v>488</v>
      </c>
      <c r="J67" s="239"/>
      <c r="K67"/>
      <c r="L67"/>
      <c r="M67"/>
      <c r="N67"/>
    </row>
    <row r="68" spans="1:14" s="241" customFormat="1" ht="31" x14ac:dyDescent="0.35">
      <c r="A68" s="180">
        <v>18</v>
      </c>
      <c r="B68" s="239" t="s">
        <v>1732</v>
      </c>
      <c r="C68" s="240">
        <v>2933000</v>
      </c>
      <c r="D68" s="261" t="s">
        <v>1728</v>
      </c>
      <c r="E68" s="239" t="s">
        <v>1729</v>
      </c>
      <c r="F68" s="239" t="s">
        <v>1733</v>
      </c>
      <c r="G68" s="239" t="s">
        <v>1734</v>
      </c>
      <c r="H68" s="239"/>
      <c r="I68" s="38" t="s">
        <v>488</v>
      </c>
      <c r="J68" s="239" t="s">
        <v>461</v>
      </c>
      <c r="K68"/>
      <c r="L68"/>
      <c r="M68"/>
      <c r="N68"/>
    </row>
    <row r="69" spans="1:14" s="241" customFormat="1" ht="15.5" x14ac:dyDescent="0.35">
      <c r="A69" s="256">
        <v>14</v>
      </c>
      <c r="B69" s="257" t="s">
        <v>1735</v>
      </c>
      <c r="C69" s="258">
        <v>31897200</v>
      </c>
      <c r="D69" s="48" t="s">
        <v>1716</v>
      </c>
      <c r="E69" s="259" t="s">
        <v>1736</v>
      </c>
      <c r="F69" s="259"/>
      <c r="G69" s="260"/>
      <c r="H69" s="260"/>
      <c r="I69" s="38" t="s">
        <v>488</v>
      </c>
      <c r="J69" s="239" t="s">
        <v>461</v>
      </c>
      <c r="K69" s="262"/>
      <c r="M69" s="220"/>
    </row>
    <row r="70" spans="1:14" s="220" customFormat="1" ht="31" x14ac:dyDescent="0.35">
      <c r="A70" s="71">
        <v>7</v>
      </c>
      <c r="B70" s="219" t="s">
        <v>1737</v>
      </c>
      <c r="C70" s="263">
        <v>105863300</v>
      </c>
      <c r="D70" s="147" t="s">
        <v>1638</v>
      </c>
      <c r="E70" s="147"/>
      <c r="F70" s="264" t="s">
        <v>1738</v>
      </c>
      <c r="G70" s="147" t="s">
        <v>1739</v>
      </c>
      <c r="H70" s="264"/>
      <c r="I70" s="148" t="s">
        <v>1740</v>
      </c>
      <c r="J70" s="300" t="s">
        <v>461</v>
      </c>
      <c r="K70" s="301"/>
    </row>
    <row r="71" spans="1:14" s="220" customFormat="1" ht="15.5" x14ac:dyDescent="0.35">
      <c r="A71" s="71">
        <v>9</v>
      </c>
      <c r="B71" s="265" t="s">
        <v>1741</v>
      </c>
      <c r="C71" s="266"/>
      <c r="D71" s="220" t="s">
        <v>1719</v>
      </c>
      <c r="E71" s="239" t="s">
        <v>1742</v>
      </c>
      <c r="F71" s="239"/>
      <c r="G71" s="239" t="s">
        <v>1743</v>
      </c>
      <c r="H71" s="239"/>
      <c r="I71" s="239" t="s">
        <v>1744</v>
      </c>
      <c r="J71" s="220" t="s">
        <v>461</v>
      </c>
      <c r="K71" s="302"/>
    </row>
    <row r="72" spans="1:14" s="241" customFormat="1" ht="31" x14ac:dyDescent="0.35">
      <c r="A72" s="71">
        <v>10</v>
      </c>
      <c r="B72" s="267" t="s">
        <v>1745</v>
      </c>
      <c r="C72" s="268">
        <v>62580000</v>
      </c>
      <c r="D72" s="150" t="s">
        <v>1746</v>
      </c>
      <c r="E72" s="150" t="s">
        <v>1747</v>
      </c>
      <c r="F72" s="260"/>
      <c r="G72" s="150" t="s">
        <v>1748</v>
      </c>
      <c r="H72" s="269" t="s">
        <v>1749</v>
      </c>
      <c r="I72" s="149" t="s">
        <v>1750</v>
      </c>
      <c r="J72" s="300" t="s">
        <v>461</v>
      </c>
      <c r="K72" s="262"/>
      <c r="N72" s="278"/>
    </row>
    <row r="73" spans="1:14" s="241" customFormat="1" ht="31" x14ac:dyDescent="0.35">
      <c r="A73" s="71">
        <v>11</v>
      </c>
      <c r="B73" s="265" t="s">
        <v>1751</v>
      </c>
      <c r="C73" s="266">
        <v>60770400</v>
      </c>
      <c r="D73" s="220" t="s">
        <v>1073</v>
      </c>
      <c r="E73" s="239" t="s">
        <v>1721</v>
      </c>
      <c r="F73" s="239"/>
      <c r="G73" s="272" t="s">
        <v>1752</v>
      </c>
      <c r="H73" s="239"/>
      <c r="I73" s="261" t="s">
        <v>1753</v>
      </c>
      <c r="J73" s="220"/>
      <c r="K73" s="302"/>
      <c r="N73" s="239"/>
    </row>
    <row r="74" spans="1:14" s="241" customFormat="1" ht="93" x14ac:dyDescent="0.35">
      <c r="A74" s="71">
        <v>12</v>
      </c>
      <c r="B74" s="270" t="s">
        <v>1754</v>
      </c>
      <c r="C74" s="266">
        <v>136590000</v>
      </c>
      <c r="D74" s="261" t="s">
        <v>1755</v>
      </c>
      <c r="E74" s="239" t="s">
        <v>1729</v>
      </c>
      <c r="F74" s="271" t="s">
        <v>1756</v>
      </c>
      <c r="G74" s="239"/>
      <c r="H74" s="239"/>
      <c r="I74" s="272" t="s">
        <v>1757</v>
      </c>
      <c r="J74" s="220" t="s">
        <v>461</v>
      </c>
      <c r="K74" s="302"/>
      <c r="N74" s="239"/>
    </row>
    <row r="75" spans="1:14" s="241" customFormat="1" ht="46.5" x14ac:dyDescent="0.35">
      <c r="A75" s="256">
        <v>13</v>
      </c>
      <c r="B75" s="273" t="s">
        <v>1758</v>
      </c>
      <c r="C75" s="258">
        <v>75745000</v>
      </c>
      <c r="D75" s="48" t="s">
        <v>1716</v>
      </c>
      <c r="E75" s="259" t="s">
        <v>1736</v>
      </c>
      <c r="F75" s="260"/>
      <c r="G75" s="48"/>
      <c r="H75" s="260"/>
      <c r="I75" s="104" t="s">
        <v>1759</v>
      </c>
      <c r="J75" s="48" t="s">
        <v>1570</v>
      </c>
      <c r="K75" s="262"/>
    </row>
    <row r="76" spans="1:14" s="241" customFormat="1" ht="68.25" customHeight="1" x14ac:dyDescent="0.35">
      <c r="A76" s="115">
        <v>15</v>
      </c>
      <c r="B76" s="274" t="s">
        <v>1760</v>
      </c>
      <c r="C76" s="258">
        <v>130715000</v>
      </c>
      <c r="D76" s="48" t="s">
        <v>1716</v>
      </c>
      <c r="E76" s="259" t="s">
        <v>1761</v>
      </c>
      <c r="F76" s="260" t="s">
        <v>1762</v>
      </c>
      <c r="G76" s="260"/>
      <c r="H76" s="260"/>
      <c r="I76" s="104" t="s">
        <v>1763</v>
      </c>
      <c r="J76" s="48" t="s">
        <v>461</v>
      </c>
      <c r="K76" s="262"/>
    </row>
    <row r="77" spans="1:14" s="241" customFormat="1" ht="15.5" x14ac:dyDescent="0.35">
      <c r="A77" s="115">
        <v>16</v>
      </c>
      <c r="B77" s="275" t="s">
        <v>1764</v>
      </c>
      <c r="C77" s="258">
        <v>253460600</v>
      </c>
      <c r="D77" s="48" t="s">
        <v>1765</v>
      </c>
      <c r="E77" s="259"/>
      <c r="F77" s="276">
        <v>44456</v>
      </c>
      <c r="G77" s="104" t="s">
        <v>1766</v>
      </c>
      <c r="H77" s="260"/>
      <c r="I77" s="104" t="s">
        <v>1767</v>
      </c>
      <c r="J77" s="48" t="s">
        <v>461</v>
      </c>
      <c r="K77" s="262"/>
    </row>
    <row r="78" spans="1:14" s="278" customFormat="1" ht="31" x14ac:dyDescent="0.35">
      <c r="A78" s="115">
        <v>17</v>
      </c>
      <c r="B78" s="275" t="s">
        <v>1768</v>
      </c>
      <c r="C78" s="258">
        <v>69507000</v>
      </c>
      <c r="D78" s="104" t="s">
        <v>1769</v>
      </c>
      <c r="E78" s="48"/>
      <c r="F78" s="276">
        <v>44446</v>
      </c>
      <c r="G78" s="104" t="s">
        <v>1770</v>
      </c>
      <c r="H78" s="277"/>
      <c r="I78" s="104" t="s">
        <v>1771</v>
      </c>
      <c r="J78" s="48" t="s">
        <v>461</v>
      </c>
      <c r="K78" s="299"/>
    </row>
    <row r="79" spans="1:14" s="278" customFormat="1" ht="77.5" x14ac:dyDescent="0.35">
      <c r="A79" s="115">
        <v>18</v>
      </c>
      <c r="B79" s="279" t="s">
        <v>1772</v>
      </c>
      <c r="C79" s="280">
        <v>101932854</v>
      </c>
      <c r="D79" s="281" t="s">
        <v>599</v>
      </c>
      <c r="E79" s="282"/>
      <c r="F79" s="283" t="s">
        <v>1773</v>
      </c>
      <c r="G79" s="281" t="s">
        <v>1774</v>
      </c>
      <c r="H79" s="283"/>
      <c r="I79" s="281" t="s">
        <v>1775</v>
      </c>
      <c r="J79" s="282" t="s">
        <v>461</v>
      </c>
      <c r="K79" s="299"/>
    </row>
    <row r="80" spans="1:14" s="241" customFormat="1" ht="31" x14ac:dyDescent="0.35">
      <c r="A80" s="71">
        <v>19</v>
      </c>
      <c r="B80" s="275" t="s">
        <v>1776</v>
      </c>
      <c r="C80" s="258">
        <v>57475000</v>
      </c>
      <c r="D80" s="104" t="s">
        <v>1755</v>
      </c>
      <c r="E80" s="259"/>
      <c r="F80" s="260"/>
      <c r="G80" s="104" t="s">
        <v>1777</v>
      </c>
      <c r="H80" s="260"/>
      <c r="I80" s="104" t="s">
        <v>1778</v>
      </c>
      <c r="J80" s="48" t="s">
        <v>461</v>
      </c>
      <c r="K80" s="262"/>
    </row>
    <row r="81" spans="1:14" s="241" customFormat="1" ht="31" x14ac:dyDescent="0.35">
      <c r="A81" s="48">
        <v>4</v>
      </c>
      <c r="B81" s="274" t="s">
        <v>1779</v>
      </c>
      <c r="C81" s="258">
        <v>77233400</v>
      </c>
      <c r="D81" s="104" t="s">
        <v>1780</v>
      </c>
      <c r="E81" s="71" t="s">
        <v>373</v>
      </c>
      <c r="F81" s="323"/>
      <c r="G81" s="324" t="s">
        <v>1781</v>
      </c>
      <c r="H81" s="104" t="s">
        <v>1782</v>
      </c>
      <c r="I81" s="104" t="s">
        <v>1783</v>
      </c>
    </row>
    <row r="82" spans="1:14" s="329" customFormat="1" ht="77.5" x14ac:dyDescent="0.35">
      <c r="A82" s="71">
        <v>5</v>
      </c>
      <c r="B82" s="325" t="s">
        <v>1784</v>
      </c>
      <c r="C82" s="326">
        <v>214693600</v>
      </c>
      <c r="D82" s="327" t="s">
        <v>1785</v>
      </c>
      <c r="E82" s="328" t="s">
        <v>1603</v>
      </c>
      <c r="F82" s="327" t="s">
        <v>1786</v>
      </c>
      <c r="G82" s="327" t="s">
        <v>1787</v>
      </c>
      <c r="H82" s="327"/>
      <c r="I82" s="327" t="s">
        <v>1788</v>
      </c>
    </row>
    <row r="83" spans="1:14" s="241" customFormat="1" ht="62" x14ac:dyDescent="0.35">
      <c r="A83" s="71">
        <v>10</v>
      </c>
      <c r="B83" s="274" t="s">
        <v>1789</v>
      </c>
      <c r="C83" s="258">
        <v>29743776</v>
      </c>
      <c r="D83" s="104" t="s">
        <v>1790</v>
      </c>
      <c r="E83" s="71" t="s">
        <v>1791</v>
      </c>
      <c r="F83" s="104" t="s">
        <v>1792</v>
      </c>
      <c r="G83" s="104" t="s">
        <v>1793</v>
      </c>
      <c r="H83" s="323"/>
      <c r="I83" s="104" t="s">
        <v>1794</v>
      </c>
    </row>
    <row r="84" spans="1:14" s="287" customFormat="1" ht="147" x14ac:dyDescent="0.5">
      <c r="A84" s="56">
        <v>11</v>
      </c>
      <c r="B84" s="255" t="s">
        <v>1795</v>
      </c>
      <c r="C84" s="243">
        <v>264108000</v>
      </c>
      <c r="D84" s="97" t="s">
        <v>1796</v>
      </c>
      <c r="E84" s="60" t="s">
        <v>661</v>
      </c>
      <c r="F84" s="321">
        <v>44606</v>
      </c>
      <c r="H84" s="97"/>
      <c r="I84" s="97" t="s">
        <v>1797</v>
      </c>
      <c r="K84" s="294"/>
      <c r="L84" s="294"/>
      <c r="M84" s="294"/>
      <c r="N84" s="294"/>
    </row>
    <row r="85" spans="1:14" s="287" customFormat="1" ht="105" x14ac:dyDescent="0.5">
      <c r="A85" s="60">
        <v>12</v>
      </c>
      <c r="B85" s="253" t="s">
        <v>1798</v>
      </c>
      <c r="C85" s="229">
        <v>214890000</v>
      </c>
      <c r="D85" s="227" t="s">
        <v>1799</v>
      </c>
      <c r="E85" s="322" t="s">
        <v>1796</v>
      </c>
      <c r="F85" s="60" t="s">
        <v>661</v>
      </c>
      <c r="G85" s="321">
        <v>44665</v>
      </c>
      <c r="H85" s="97" t="s">
        <v>1800</v>
      </c>
      <c r="I85" s="97" t="s">
        <v>1801</v>
      </c>
      <c r="K85" s="294"/>
      <c r="L85" s="294"/>
      <c r="M85" s="294"/>
      <c r="N85" s="294"/>
    </row>
    <row r="86" spans="1:14" s="287" customFormat="1" ht="126" x14ac:dyDescent="0.5">
      <c r="A86" s="56">
        <v>5</v>
      </c>
      <c r="B86" s="255" t="s">
        <v>1802</v>
      </c>
      <c r="C86" s="243">
        <v>256717000</v>
      </c>
      <c r="D86" s="227" t="s">
        <v>1803</v>
      </c>
      <c r="E86" s="97" t="s">
        <v>164</v>
      </c>
      <c r="F86" s="56" t="s">
        <v>1603</v>
      </c>
      <c r="G86" s="97"/>
      <c r="H86" s="97" t="s">
        <v>1804</v>
      </c>
      <c r="I86" s="294"/>
      <c r="J86" s="97" t="s">
        <v>1805</v>
      </c>
      <c r="K86" s="294"/>
      <c r="L86" s="294"/>
      <c r="M86" s="294"/>
      <c r="N86" s="61" t="s">
        <v>1806</v>
      </c>
    </row>
    <row r="87" spans="1:14" s="161" customFormat="1" ht="105" x14ac:dyDescent="0.35">
      <c r="A87" s="60">
        <v>3</v>
      </c>
      <c r="B87" s="255" t="s">
        <v>1807</v>
      </c>
      <c r="C87" s="243">
        <v>251278500</v>
      </c>
      <c r="D87" s="227" t="s">
        <v>228</v>
      </c>
      <c r="E87" s="97" t="s">
        <v>1780</v>
      </c>
      <c r="F87" s="56" t="s">
        <v>373</v>
      </c>
      <c r="G87" s="61"/>
      <c r="H87" s="97" t="s">
        <v>1808</v>
      </c>
      <c r="I87" s="57" t="s">
        <v>1809</v>
      </c>
      <c r="J87" s="97" t="s">
        <v>1810</v>
      </c>
      <c r="K87" s="61"/>
      <c r="L87" s="61"/>
      <c r="M87" s="97" t="s">
        <v>1811</v>
      </c>
      <c r="N87" s="97" t="s">
        <v>1812</v>
      </c>
    </row>
    <row r="88" spans="1:14" s="310" customFormat="1" ht="194.25" customHeight="1" x14ac:dyDescent="0.5">
      <c r="A88" s="60">
        <v>10</v>
      </c>
      <c r="B88" s="306" t="s">
        <v>1813</v>
      </c>
      <c r="C88" s="319">
        <v>255460000</v>
      </c>
      <c r="D88" s="307" t="s">
        <v>1814</v>
      </c>
      <c r="E88" s="308" t="s">
        <v>1796</v>
      </c>
      <c r="F88" s="305" t="s">
        <v>661</v>
      </c>
      <c r="G88" s="320">
        <v>44606</v>
      </c>
      <c r="H88" s="308" t="s">
        <v>1815</v>
      </c>
      <c r="I88" s="308" t="s">
        <v>1816</v>
      </c>
      <c r="J88" s="308" t="s">
        <v>1817</v>
      </c>
      <c r="K88" s="309"/>
      <c r="L88" s="309"/>
      <c r="M88" s="309"/>
      <c r="N88" s="308" t="s">
        <v>1818</v>
      </c>
    </row>
    <row r="89" spans="1:14" s="311" customFormat="1" ht="84" x14ac:dyDescent="0.5">
      <c r="A89" s="60">
        <v>11</v>
      </c>
      <c r="B89" s="330" t="s">
        <v>1819</v>
      </c>
      <c r="C89" s="331">
        <v>48819876</v>
      </c>
      <c r="D89" s="332" t="s">
        <v>1820</v>
      </c>
      <c r="E89" s="333" t="s">
        <v>938</v>
      </c>
      <c r="F89" s="334" t="s">
        <v>1603</v>
      </c>
      <c r="G89" s="335">
        <v>44722</v>
      </c>
      <c r="H89" s="336" t="s">
        <v>1821</v>
      </c>
      <c r="I89" s="337"/>
      <c r="J89" s="336"/>
      <c r="K89" s="337"/>
      <c r="L89" s="337"/>
      <c r="M89" s="337"/>
      <c r="N89" s="337"/>
    </row>
    <row r="90" spans="1:14" s="287" customFormat="1" ht="42" x14ac:dyDescent="0.5">
      <c r="A90" s="60">
        <v>16</v>
      </c>
      <c r="B90" s="255" t="s">
        <v>1822</v>
      </c>
      <c r="C90" s="243">
        <v>14190300</v>
      </c>
      <c r="D90" s="227" t="s">
        <v>1823</v>
      </c>
      <c r="E90" s="97" t="s">
        <v>1824</v>
      </c>
      <c r="F90" s="60" t="s">
        <v>1825</v>
      </c>
      <c r="G90" s="294"/>
      <c r="H90" s="294"/>
      <c r="I90" s="294"/>
      <c r="J90" s="97" t="s">
        <v>1826</v>
      </c>
      <c r="K90" s="294"/>
      <c r="L90" s="294"/>
      <c r="M90" s="97" t="s">
        <v>1811</v>
      </c>
      <c r="N90" s="294"/>
    </row>
    <row r="91" spans="1:14" s="287" customFormat="1" ht="75" customHeight="1" x14ac:dyDescent="0.5">
      <c r="A91" s="60">
        <v>18</v>
      </c>
      <c r="B91" s="255" t="s">
        <v>1827</v>
      </c>
      <c r="C91" s="243">
        <v>15388800</v>
      </c>
      <c r="D91" s="227" t="s">
        <v>228</v>
      </c>
      <c r="E91" s="97" t="s">
        <v>392</v>
      </c>
      <c r="F91" s="60" t="s">
        <v>1828</v>
      </c>
      <c r="G91" s="294"/>
      <c r="H91" s="294"/>
      <c r="I91" s="294"/>
      <c r="J91" s="97"/>
      <c r="K91" s="294"/>
      <c r="L91" s="294"/>
      <c r="M91" s="294"/>
      <c r="N91" s="294"/>
    </row>
    <row r="92" spans="1:14" s="287" customFormat="1" ht="42" x14ac:dyDescent="0.5">
      <c r="A92" s="60">
        <v>9</v>
      </c>
      <c r="B92" s="255" t="s">
        <v>1829</v>
      </c>
      <c r="C92" s="243">
        <v>273893760</v>
      </c>
      <c r="D92" s="227" t="s">
        <v>228</v>
      </c>
      <c r="E92" s="97" t="s">
        <v>1790</v>
      </c>
      <c r="F92" s="56" t="s">
        <v>661</v>
      </c>
      <c r="G92" s="294"/>
      <c r="H92" s="97" t="s">
        <v>1830</v>
      </c>
      <c r="I92" s="294"/>
      <c r="J92" s="97" t="s">
        <v>1831</v>
      </c>
      <c r="K92" s="294"/>
      <c r="L92" s="294"/>
      <c r="M92" s="294"/>
      <c r="N92" s="294"/>
    </row>
    <row r="93" spans="1:14" s="339" customFormat="1" ht="126" x14ac:dyDescent="0.35">
      <c r="A93" s="60">
        <v>12</v>
      </c>
      <c r="B93" s="306" t="s">
        <v>1832</v>
      </c>
      <c r="C93" s="338">
        <v>164065000</v>
      </c>
      <c r="D93" s="307" t="s">
        <v>1833</v>
      </c>
      <c r="E93" s="308" t="s">
        <v>1834</v>
      </c>
      <c r="F93" s="305" t="s">
        <v>1835</v>
      </c>
      <c r="G93" s="308"/>
      <c r="H93" s="308" t="s">
        <v>1836</v>
      </c>
      <c r="I93" s="308" t="s">
        <v>1837</v>
      </c>
      <c r="J93" s="308" t="s">
        <v>1838</v>
      </c>
      <c r="K93" s="308"/>
      <c r="L93" s="308" t="s">
        <v>1839</v>
      </c>
      <c r="M93" s="308"/>
      <c r="N93" s="308" t="s">
        <v>1840</v>
      </c>
    </row>
    <row r="94" spans="1:14" s="287" customFormat="1" ht="105" x14ac:dyDescent="0.5">
      <c r="A94" s="56">
        <v>6</v>
      </c>
      <c r="B94" s="255" t="s">
        <v>1841</v>
      </c>
      <c r="C94" s="243">
        <v>1000249410</v>
      </c>
      <c r="D94" s="227" t="s">
        <v>228</v>
      </c>
      <c r="E94" s="97" t="s">
        <v>1842</v>
      </c>
      <c r="F94" s="97" t="s">
        <v>1843</v>
      </c>
      <c r="G94" s="294"/>
      <c r="H94" s="294"/>
      <c r="I94" s="97" t="s">
        <v>1844</v>
      </c>
      <c r="J94" s="97" t="s">
        <v>1845</v>
      </c>
      <c r="K94" s="294"/>
      <c r="L94" s="294"/>
      <c r="M94" s="294"/>
      <c r="N94" s="294"/>
    </row>
    <row r="95" spans="1:14" s="287" customFormat="1" ht="126" x14ac:dyDescent="0.5">
      <c r="A95" s="56">
        <v>7</v>
      </c>
      <c r="B95" s="255" t="s">
        <v>1846</v>
      </c>
      <c r="C95" s="340">
        <v>11955000</v>
      </c>
      <c r="D95" s="227" t="s">
        <v>228</v>
      </c>
      <c r="E95" s="97" t="s">
        <v>392</v>
      </c>
      <c r="F95" s="60" t="s">
        <v>661</v>
      </c>
      <c r="G95" s="294"/>
      <c r="H95" s="97" t="s">
        <v>1847</v>
      </c>
      <c r="I95" s="294"/>
      <c r="J95" s="97" t="s">
        <v>1848</v>
      </c>
      <c r="K95" s="294"/>
      <c r="L95" s="294"/>
      <c r="M95" s="294"/>
      <c r="N95" s="294"/>
    </row>
    <row r="96" spans="1:14" s="287" customFormat="1" ht="42" x14ac:dyDescent="0.5">
      <c r="A96" s="60">
        <v>27</v>
      </c>
      <c r="B96" s="255" t="s">
        <v>1849</v>
      </c>
      <c r="C96" s="243">
        <v>8378100</v>
      </c>
      <c r="D96" s="227"/>
      <c r="E96" s="97" t="s">
        <v>1850</v>
      </c>
      <c r="F96" s="341"/>
      <c r="G96" s="294"/>
      <c r="H96" s="294"/>
      <c r="I96" s="294"/>
      <c r="J96" s="97" t="s">
        <v>1851</v>
      </c>
      <c r="K96" s="294"/>
      <c r="L96" s="294"/>
      <c r="M96" s="294"/>
      <c r="N96" s="294"/>
    </row>
    <row r="97" spans="1:15" s="287" customFormat="1" ht="231" x14ac:dyDescent="0.5">
      <c r="A97" s="60">
        <v>4</v>
      </c>
      <c r="B97" s="255" t="s">
        <v>1852</v>
      </c>
      <c r="C97" s="359">
        <v>64092000</v>
      </c>
      <c r="D97" s="345" t="s">
        <v>228</v>
      </c>
      <c r="E97" s="97" t="s">
        <v>1853</v>
      </c>
      <c r="F97" s="60" t="s">
        <v>661</v>
      </c>
      <c r="G97" s="294"/>
      <c r="H97" s="97"/>
      <c r="I97" s="294"/>
      <c r="J97" s="97" t="s">
        <v>1854</v>
      </c>
      <c r="K97" s="294"/>
      <c r="L97" s="294"/>
      <c r="M97" s="294"/>
      <c r="N97" s="97" t="s">
        <v>1855</v>
      </c>
    </row>
    <row r="98" spans="1:15" s="287" customFormat="1" ht="63" x14ac:dyDescent="0.5">
      <c r="A98" s="60">
        <v>27</v>
      </c>
      <c r="B98" s="255" t="s">
        <v>1856</v>
      </c>
      <c r="C98" s="243">
        <v>16200000</v>
      </c>
      <c r="D98" s="227" t="s">
        <v>228</v>
      </c>
      <c r="E98" s="97" t="s">
        <v>392</v>
      </c>
      <c r="F98" s="341"/>
      <c r="G98" s="294"/>
      <c r="H98" s="294"/>
      <c r="I98" s="294"/>
      <c r="J98" s="97" t="s">
        <v>1857</v>
      </c>
      <c r="K98" s="294"/>
      <c r="L98" s="294"/>
      <c r="M98" s="294"/>
      <c r="N98" s="294"/>
    </row>
    <row r="99" spans="1:15" s="287" customFormat="1" ht="210" x14ac:dyDescent="0.5">
      <c r="A99" s="56">
        <v>1</v>
      </c>
      <c r="B99" s="118" t="s">
        <v>463</v>
      </c>
      <c r="C99" s="285">
        <v>903268700</v>
      </c>
      <c r="D99" s="227" t="s">
        <v>228</v>
      </c>
      <c r="E99" s="57" t="s">
        <v>456</v>
      </c>
      <c r="F99" s="56" t="s">
        <v>373</v>
      </c>
      <c r="G99" s="58"/>
      <c r="H99" s="304" t="s">
        <v>1858</v>
      </c>
      <c r="I99" s="57"/>
      <c r="J99" s="57" t="s">
        <v>1859</v>
      </c>
      <c r="K99" s="57" t="s">
        <v>1860</v>
      </c>
      <c r="L99" s="57" t="s">
        <v>458</v>
      </c>
      <c r="M99" s="57" t="s">
        <v>1861</v>
      </c>
      <c r="N99" s="342" t="s">
        <v>1862</v>
      </c>
      <c r="O99" s="170"/>
    </row>
    <row r="100" spans="1:15" s="310" customFormat="1" ht="126" x14ac:dyDescent="0.5">
      <c r="A100" s="56">
        <v>12</v>
      </c>
      <c r="B100" s="306" t="s">
        <v>1863</v>
      </c>
      <c r="C100" s="319">
        <v>100000000</v>
      </c>
      <c r="D100" s="307" t="s">
        <v>1864</v>
      </c>
      <c r="E100" s="308" t="s">
        <v>1796</v>
      </c>
      <c r="F100" s="305" t="s">
        <v>261</v>
      </c>
      <c r="G100" s="309"/>
      <c r="H100" s="308" t="s">
        <v>1865</v>
      </c>
      <c r="I100" s="309"/>
      <c r="J100" s="308" t="s">
        <v>1866</v>
      </c>
      <c r="K100" s="309"/>
      <c r="L100" s="309"/>
      <c r="M100" s="309"/>
      <c r="N100" s="309"/>
    </row>
    <row r="101" spans="1:15" s="287" customFormat="1" ht="147" x14ac:dyDescent="0.5">
      <c r="A101" s="56">
        <v>22</v>
      </c>
      <c r="B101" s="255" t="s">
        <v>1867</v>
      </c>
      <c r="C101" s="243">
        <v>30060000</v>
      </c>
      <c r="D101" s="227" t="s">
        <v>228</v>
      </c>
      <c r="E101" s="97" t="s">
        <v>1868</v>
      </c>
      <c r="F101" s="341"/>
      <c r="G101" s="294"/>
      <c r="H101" s="294"/>
      <c r="I101" s="294"/>
      <c r="J101" s="97" t="s">
        <v>1869</v>
      </c>
      <c r="K101" s="294"/>
      <c r="L101" s="294"/>
      <c r="M101" s="294"/>
      <c r="N101" s="294"/>
    </row>
    <row r="102" spans="1:15" s="287" customFormat="1" ht="126" x14ac:dyDescent="0.5">
      <c r="A102" s="56">
        <v>10</v>
      </c>
      <c r="B102" s="255" t="s">
        <v>1870</v>
      </c>
      <c r="C102" s="243">
        <v>112461600</v>
      </c>
      <c r="D102" s="227" t="s">
        <v>1871</v>
      </c>
      <c r="E102" s="97" t="s">
        <v>1796</v>
      </c>
      <c r="F102" s="341"/>
      <c r="G102" s="294"/>
      <c r="H102" s="97" t="s">
        <v>1872</v>
      </c>
      <c r="I102" s="294"/>
      <c r="J102" s="97" t="s">
        <v>1873</v>
      </c>
      <c r="K102" s="294"/>
      <c r="L102" s="294"/>
      <c r="M102" s="294"/>
      <c r="N102" s="294"/>
    </row>
    <row r="103" spans="1:15" s="287" customFormat="1" ht="126" x14ac:dyDescent="0.5">
      <c r="A103" s="60">
        <v>20</v>
      </c>
      <c r="B103" s="255" t="s">
        <v>1874</v>
      </c>
      <c r="C103" s="243">
        <v>24481041</v>
      </c>
      <c r="D103" s="227" t="s">
        <v>228</v>
      </c>
      <c r="E103" s="97" t="s">
        <v>1875</v>
      </c>
      <c r="F103" s="341"/>
      <c r="G103" s="294"/>
      <c r="H103" s="294"/>
      <c r="I103" s="294"/>
      <c r="J103" s="97" t="s">
        <v>1876</v>
      </c>
      <c r="K103" s="294"/>
      <c r="L103" s="294"/>
      <c r="M103" s="294"/>
      <c r="N103" s="294"/>
    </row>
    <row r="104" spans="1:15" s="287" customFormat="1" ht="409.5" x14ac:dyDescent="0.5">
      <c r="A104" s="60">
        <v>1</v>
      </c>
      <c r="B104" s="255" t="s">
        <v>1877</v>
      </c>
      <c r="C104" s="359">
        <v>274957200</v>
      </c>
      <c r="D104" s="345" t="s">
        <v>228</v>
      </c>
      <c r="E104" s="97" t="s">
        <v>1878</v>
      </c>
      <c r="F104" s="60" t="s">
        <v>373</v>
      </c>
      <c r="G104" s="97" t="s">
        <v>1879</v>
      </c>
      <c r="H104" s="97" t="s">
        <v>1880</v>
      </c>
      <c r="I104" s="97"/>
      <c r="J104" s="97" t="s">
        <v>1881</v>
      </c>
      <c r="K104" s="97"/>
      <c r="L104" s="294"/>
      <c r="M104" s="97" t="s">
        <v>1882</v>
      </c>
      <c r="N104" s="97" t="s">
        <v>1883</v>
      </c>
    </row>
    <row r="105" spans="1:15" ht="28.5" x14ac:dyDescent="0.65">
      <c r="B105" s="385">
        <v>2023</v>
      </c>
    </row>
    <row r="106" spans="1:15" s="287" customFormat="1" ht="126" x14ac:dyDescent="0.5">
      <c r="A106" s="60">
        <v>9</v>
      </c>
      <c r="B106" s="255" t="s">
        <v>1884</v>
      </c>
      <c r="C106" s="375">
        <v>11298000</v>
      </c>
      <c r="D106" s="97" t="s">
        <v>228</v>
      </c>
      <c r="E106" s="61" t="s">
        <v>164</v>
      </c>
      <c r="F106" s="341"/>
      <c r="G106" s="294"/>
      <c r="H106" s="294"/>
      <c r="I106" s="294"/>
      <c r="J106" s="97" t="s">
        <v>1885</v>
      </c>
      <c r="K106" s="294"/>
      <c r="L106" s="97" t="s">
        <v>1886</v>
      </c>
      <c r="M106" s="97" t="s">
        <v>1887</v>
      </c>
      <c r="N106" s="294"/>
    </row>
    <row r="107" spans="1:15" s="287" customFormat="1" ht="126" x14ac:dyDescent="0.5">
      <c r="A107" s="60">
        <v>1</v>
      </c>
      <c r="B107" s="255" t="s">
        <v>382</v>
      </c>
      <c r="C107" s="414">
        <v>20376000</v>
      </c>
      <c r="D107" s="345" t="s">
        <v>228</v>
      </c>
      <c r="E107" s="97" t="s">
        <v>385</v>
      </c>
      <c r="F107" s="60" t="s">
        <v>386</v>
      </c>
      <c r="G107" s="294"/>
      <c r="H107" s="97"/>
      <c r="I107" s="294"/>
      <c r="J107" s="97" t="s">
        <v>1888</v>
      </c>
      <c r="K107" s="294"/>
      <c r="L107" s="97" t="s">
        <v>389</v>
      </c>
      <c r="M107" s="97" t="s">
        <v>389</v>
      </c>
      <c r="N107" s="97" t="s">
        <v>390</v>
      </c>
    </row>
    <row r="108" spans="1:15" s="367" customFormat="1" ht="189" x14ac:dyDescent="0.5">
      <c r="A108" s="363">
        <v>6</v>
      </c>
      <c r="B108" s="364" t="s">
        <v>442</v>
      </c>
      <c r="C108" s="409">
        <v>91194600</v>
      </c>
      <c r="D108" s="369" t="s">
        <v>228</v>
      </c>
      <c r="E108" s="369" t="s">
        <v>444</v>
      </c>
      <c r="G108" s="368"/>
      <c r="H108" s="368"/>
      <c r="I108" s="368"/>
      <c r="J108" s="369" t="s">
        <v>1889</v>
      </c>
      <c r="K108" s="368"/>
      <c r="L108" s="368"/>
      <c r="M108" s="369" t="s">
        <v>1890</v>
      </c>
      <c r="N108" s="368"/>
      <c r="O108" s="374"/>
    </row>
    <row r="109" spans="1:15" s="287" customFormat="1" ht="84" x14ac:dyDescent="0.5">
      <c r="A109" s="56">
        <v>29</v>
      </c>
      <c r="B109" s="118" t="s">
        <v>1891</v>
      </c>
      <c r="C109" s="395">
        <v>31768800</v>
      </c>
      <c r="D109" s="393"/>
      <c r="E109" s="394" t="s">
        <v>720</v>
      </c>
      <c r="F109" s="393"/>
      <c r="G109" s="394"/>
      <c r="H109" s="394"/>
      <c r="I109" s="394"/>
      <c r="J109" s="57" t="s">
        <v>1892</v>
      </c>
      <c r="K109" s="394"/>
      <c r="L109" s="394"/>
      <c r="M109" s="57"/>
      <c r="N109" s="394"/>
      <c r="O109" s="392"/>
    </row>
    <row r="110" spans="1:15" s="287" customFormat="1" ht="42" x14ac:dyDescent="0.5">
      <c r="A110" s="56">
        <v>32</v>
      </c>
      <c r="B110" s="253" t="s">
        <v>1893</v>
      </c>
      <c r="C110" s="379">
        <v>6107220</v>
      </c>
      <c r="E110" s="289" t="s">
        <v>293</v>
      </c>
      <c r="G110" s="289"/>
      <c r="H110" s="289"/>
      <c r="I110" s="289"/>
      <c r="J110" s="244" t="s">
        <v>1894</v>
      </c>
      <c r="K110" s="289"/>
      <c r="L110" s="289"/>
      <c r="M110" s="244"/>
      <c r="N110" s="289"/>
    </row>
    <row r="111" spans="1:15" s="341" customFormat="1" ht="409.5" x14ac:dyDescent="0.5">
      <c r="A111" s="60">
        <v>4</v>
      </c>
      <c r="B111" s="255" t="s">
        <v>439</v>
      </c>
      <c r="C111" s="243">
        <v>125000000</v>
      </c>
      <c r="D111" s="97" t="s">
        <v>228</v>
      </c>
      <c r="E111" s="97" t="s">
        <v>1895</v>
      </c>
      <c r="G111" s="294"/>
      <c r="H111" s="294"/>
      <c r="I111" s="294"/>
      <c r="J111" s="97" t="s">
        <v>1896</v>
      </c>
      <c r="K111" s="294"/>
      <c r="L111" s="294" t="s">
        <v>1897</v>
      </c>
      <c r="M111" s="97" t="s">
        <v>1887</v>
      </c>
      <c r="N111" s="294"/>
      <c r="O111" s="373"/>
    </row>
    <row r="112" spans="1:15" s="310" customFormat="1" ht="105" x14ac:dyDescent="0.5">
      <c r="A112" s="305">
        <v>34</v>
      </c>
      <c r="B112" s="306" t="s">
        <v>417</v>
      </c>
      <c r="C112" s="319">
        <v>968389530</v>
      </c>
      <c r="D112" s="307" t="s">
        <v>228</v>
      </c>
      <c r="E112" s="306" t="s">
        <v>260</v>
      </c>
      <c r="F112" s="343"/>
      <c r="G112" s="309"/>
      <c r="H112" s="308" t="s">
        <v>418</v>
      </c>
      <c r="I112" s="309"/>
      <c r="J112" s="308" t="s">
        <v>419</v>
      </c>
      <c r="K112" s="309"/>
      <c r="L112" s="309"/>
      <c r="M112" s="309"/>
      <c r="N112" s="309"/>
    </row>
    <row r="113" spans="1:16" s="341" customFormat="1" ht="42" x14ac:dyDescent="0.5">
      <c r="A113" s="60">
        <v>3</v>
      </c>
      <c r="B113" s="255" t="s">
        <v>432</v>
      </c>
      <c r="C113" s="361">
        <v>112978000</v>
      </c>
      <c r="D113" s="97" t="s">
        <v>228</v>
      </c>
      <c r="E113" s="97"/>
      <c r="F113" s="97" t="s">
        <v>434</v>
      </c>
      <c r="H113" s="294"/>
      <c r="I113" s="294"/>
      <c r="J113" s="294"/>
      <c r="K113" s="97" t="s">
        <v>1898</v>
      </c>
      <c r="L113" s="294"/>
      <c r="M113" s="294"/>
      <c r="N113" s="97" t="s">
        <v>1887</v>
      </c>
      <c r="O113" s="294"/>
      <c r="P113" s="373"/>
    </row>
    <row r="114" spans="1:16" s="287" customFormat="1" ht="105" x14ac:dyDescent="0.5">
      <c r="A114" s="190">
        <v>13</v>
      </c>
      <c r="B114" s="253" t="s">
        <v>1899</v>
      </c>
      <c r="C114" s="379">
        <v>70000000</v>
      </c>
      <c r="F114" s="289" t="s">
        <v>425</v>
      </c>
      <c r="H114" s="289"/>
      <c r="I114" s="289"/>
      <c r="J114" s="289"/>
      <c r="K114" s="244" t="s">
        <v>1900</v>
      </c>
      <c r="L114" s="289"/>
      <c r="M114" s="289"/>
      <c r="N114" s="244"/>
      <c r="O114" s="289"/>
    </row>
    <row r="115" spans="1:16" s="287" customFormat="1" ht="105" x14ac:dyDescent="0.5">
      <c r="A115" s="60">
        <v>2</v>
      </c>
      <c r="B115" s="255" t="s">
        <v>1901</v>
      </c>
      <c r="C115" s="359">
        <v>100000000</v>
      </c>
      <c r="D115" s="345" t="s">
        <v>1599</v>
      </c>
      <c r="E115" s="345"/>
      <c r="F115" s="97" t="s">
        <v>425</v>
      </c>
      <c r="G115" s="341"/>
      <c r="H115" s="294"/>
      <c r="I115" s="294"/>
      <c r="J115" s="294"/>
      <c r="K115" s="97" t="s">
        <v>1902</v>
      </c>
      <c r="L115" s="294"/>
      <c r="M115" s="294"/>
      <c r="N115" s="97"/>
      <c r="O115" s="294"/>
    </row>
    <row r="116" spans="1:16" s="287" customFormat="1" ht="42" x14ac:dyDescent="0.5">
      <c r="A116" s="190">
        <v>15</v>
      </c>
      <c r="B116" s="255" t="s">
        <v>432</v>
      </c>
      <c r="C116" s="437">
        <v>33507540</v>
      </c>
      <c r="D116" s="97" t="s">
        <v>228</v>
      </c>
      <c r="E116" s="97"/>
      <c r="F116" s="255" t="s">
        <v>434</v>
      </c>
      <c r="H116" s="289"/>
      <c r="I116" s="289"/>
      <c r="J116" s="289"/>
      <c r="K116" s="244" t="s">
        <v>1903</v>
      </c>
      <c r="L116" s="289"/>
      <c r="M116" s="289"/>
      <c r="N116" s="244"/>
      <c r="O116" s="289"/>
    </row>
    <row r="117" spans="1:16" s="287" customFormat="1" ht="168" x14ac:dyDescent="0.5">
      <c r="A117" s="60">
        <v>2</v>
      </c>
      <c r="B117" s="255" t="s">
        <v>1904</v>
      </c>
      <c r="C117" s="375">
        <v>196085000</v>
      </c>
      <c r="D117" s="97" t="s">
        <v>1905</v>
      </c>
      <c r="E117" s="97"/>
      <c r="F117" s="97" t="s">
        <v>1906</v>
      </c>
      <c r="G117" s="341"/>
      <c r="H117" s="294"/>
      <c r="I117" s="294"/>
      <c r="J117" s="294"/>
      <c r="K117" s="355" t="s">
        <v>1907</v>
      </c>
      <c r="L117" s="294"/>
      <c r="M117" s="97" t="s">
        <v>1908</v>
      </c>
      <c r="N117" s="97" t="s">
        <v>686</v>
      </c>
      <c r="O117" s="294"/>
    </row>
    <row r="118" spans="1:16" s="287" customFormat="1" ht="126" x14ac:dyDescent="0.5">
      <c r="A118" s="60">
        <v>1</v>
      </c>
      <c r="B118" s="255" t="s">
        <v>423</v>
      </c>
      <c r="C118" s="359">
        <v>55740000</v>
      </c>
      <c r="D118" s="345" t="s">
        <v>1599</v>
      </c>
      <c r="E118" s="345"/>
      <c r="F118" s="97" t="s">
        <v>1909</v>
      </c>
      <c r="G118" s="341"/>
      <c r="H118" s="294"/>
      <c r="I118" s="294"/>
      <c r="J118" s="294"/>
      <c r="K118" s="355" t="s">
        <v>1910</v>
      </c>
      <c r="L118" s="294"/>
      <c r="M118" s="294"/>
      <c r="N118" s="97" t="s">
        <v>1887</v>
      </c>
      <c r="O118" s="294"/>
    </row>
    <row r="119" spans="1:16" s="382" customFormat="1" ht="42" x14ac:dyDescent="0.5">
      <c r="A119" s="432">
        <v>7</v>
      </c>
      <c r="B119" s="399" t="s">
        <v>1911</v>
      </c>
      <c r="C119" s="433">
        <v>54967449</v>
      </c>
      <c r="D119" s="400"/>
      <c r="E119" s="400"/>
      <c r="F119" s="401" t="s">
        <v>699</v>
      </c>
      <c r="G119" s="400"/>
      <c r="H119" s="401"/>
      <c r="I119" s="401"/>
      <c r="J119" s="401"/>
      <c r="K119" s="402" t="s">
        <v>1912</v>
      </c>
      <c r="L119" s="401"/>
      <c r="M119" s="401"/>
      <c r="N119" s="402"/>
      <c r="O119" s="401"/>
    </row>
    <row r="120" spans="1:16" s="382" customFormat="1" ht="42" x14ac:dyDescent="0.5">
      <c r="A120" s="432">
        <v>23</v>
      </c>
      <c r="B120" s="399" t="s">
        <v>1913</v>
      </c>
      <c r="C120" s="444">
        <v>66735900</v>
      </c>
      <c r="D120" s="400"/>
      <c r="E120" s="400" t="s">
        <v>1037</v>
      </c>
      <c r="F120" s="401" t="s">
        <v>1274</v>
      </c>
      <c r="G120" s="400"/>
      <c r="H120" s="401"/>
      <c r="I120" s="401"/>
      <c r="J120" s="401"/>
      <c r="K120" s="402" t="s">
        <v>1914</v>
      </c>
      <c r="L120" s="401"/>
      <c r="M120" s="401"/>
      <c r="N120" s="384"/>
      <c r="O120" s="383"/>
    </row>
    <row r="121" spans="1:16" s="382" customFormat="1" ht="42" x14ac:dyDescent="0.5">
      <c r="A121" s="432">
        <v>24</v>
      </c>
      <c r="B121" s="449" t="s">
        <v>1915</v>
      </c>
      <c r="C121" s="444">
        <v>63798300</v>
      </c>
      <c r="D121" s="400"/>
      <c r="E121" s="400" t="s">
        <v>1037</v>
      </c>
      <c r="F121" s="401" t="s">
        <v>1274</v>
      </c>
      <c r="G121" s="400"/>
      <c r="H121" s="401"/>
      <c r="I121" s="401"/>
      <c r="J121" s="401"/>
      <c r="K121" s="402" t="s">
        <v>1914</v>
      </c>
      <c r="L121" s="401"/>
      <c r="M121" s="401"/>
      <c r="N121" s="384"/>
      <c r="O121" s="383"/>
    </row>
    <row r="122" spans="1:16" s="382" customFormat="1" ht="63" x14ac:dyDescent="0.5">
      <c r="A122" s="432"/>
      <c r="B122" s="399" t="s">
        <v>1916</v>
      </c>
      <c r="C122" s="433">
        <v>277860346</v>
      </c>
      <c r="D122" s="400"/>
      <c r="E122" s="400"/>
      <c r="F122" s="401" t="s">
        <v>699</v>
      </c>
      <c r="G122" s="400"/>
      <c r="H122" s="401"/>
      <c r="I122" s="401"/>
      <c r="J122" s="401"/>
      <c r="K122" s="402" t="s">
        <v>1917</v>
      </c>
      <c r="L122" s="401"/>
      <c r="M122" s="401"/>
      <c r="N122" s="402"/>
      <c r="O122" s="401"/>
    </row>
    <row r="123" spans="1:16" s="287" customFormat="1" ht="21" x14ac:dyDescent="0.5">
      <c r="A123" s="60">
        <v>17</v>
      </c>
      <c r="B123" s="255" t="s">
        <v>1918</v>
      </c>
      <c r="C123" s="378">
        <v>30458400</v>
      </c>
      <c r="D123" s="341"/>
      <c r="E123" s="341"/>
      <c r="F123" s="443" t="s">
        <v>1919</v>
      </c>
      <c r="G123" s="341"/>
      <c r="H123" s="294"/>
      <c r="I123" s="294"/>
      <c r="J123" s="294"/>
      <c r="K123" s="97" t="s">
        <v>1920</v>
      </c>
      <c r="L123" s="294"/>
      <c r="M123" s="294"/>
      <c r="N123" s="244"/>
      <c r="O123" s="289"/>
    </row>
    <row r="124" spans="1:16" s="382" customFormat="1" ht="63" x14ac:dyDescent="0.5">
      <c r="A124" s="432">
        <v>6</v>
      </c>
      <c r="B124" s="399" t="s">
        <v>1921</v>
      </c>
      <c r="C124" s="433">
        <v>275832039</v>
      </c>
      <c r="D124" s="400"/>
      <c r="E124" s="400"/>
      <c r="F124" s="401" t="s">
        <v>699</v>
      </c>
      <c r="G124" s="400"/>
      <c r="H124" s="401"/>
      <c r="I124" s="401"/>
      <c r="J124" s="401"/>
      <c r="K124" s="402" t="s">
        <v>1922</v>
      </c>
      <c r="L124" s="401"/>
      <c r="M124" s="401"/>
      <c r="N124" s="402" t="s">
        <v>701</v>
      </c>
      <c r="O124" s="401"/>
    </row>
    <row r="125" spans="1:16" s="287" customFormat="1" ht="21" x14ac:dyDescent="0.5">
      <c r="A125" s="60">
        <v>41</v>
      </c>
      <c r="B125" s="253" t="s">
        <v>1849</v>
      </c>
      <c r="F125" s="289" t="s">
        <v>1923</v>
      </c>
      <c r="H125" s="289"/>
      <c r="I125" s="289"/>
      <c r="J125" s="289"/>
      <c r="K125" s="244" t="s">
        <v>1924</v>
      </c>
      <c r="L125" s="289"/>
      <c r="M125" s="289"/>
      <c r="N125" s="244"/>
      <c r="O125" s="289"/>
    </row>
    <row r="126" spans="1:16" s="287" customFormat="1" ht="409.5" x14ac:dyDescent="0.5">
      <c r="A126" s="60">
        <v>1</v>
      </c>
      <c r="B126" s="255" t="s">
        <v>1925</v>
      </c>
      <c r="C126" s="375">
        <f>135867000+94248000</f>
        <v>230115000</v>
      </c>
      <c r="D126" s="97" t="s">
        <v>228</v>
      </c>
      <c r="E126" s="97"/>
      <c r="F126" s="61" t="s">
        <v>349</v>
      </c>
      <c r="G126" s="341"/>
      <c r="H126" s="294"/>
      <c r="I126" s="294"/>
      <c r="J126" s="294"/>
      <c r="K126" s="97" t="s">
        <v>1926</v>
      </c>
      <c r="L126" s="294"/>
      <c r="M126" s="97" t="s">
        <v>1927</v>
      </c>
      <c r="N126" s="97" t="s">
        <v>1887</v>
      </c>
      <c r="O126" s="294"/>
    </row>
    <row r="127" spans="1:16" s="287" customFormat="1" ht="21" x14ac:dyDescent="0.5">
      <c r="A127" s="60">
        <v>14</v>
      </c>
      <c r="B127" s="255" t="s">
        <v>1928</v>
      </c>
      <c r="C127" s="378">
        <v>108703200</v>
      </c>
      <c r="D127" s="341"/>
      <c r="E127" s="341"/>
      <c r="F127" s="294" t="s">
        <v>1929</v>
      </c>
      <c r="G127" s="341"/>
      <c r="H127" s="294"/>
      <c r="I127" s="294"/>
      <c r="J127" s="294"/>
      <c r="K127" s="97" t="s">
        <v>1930</v>
      </c>
      <c r="L127" s="294"/>
      <c r="M127" s="294"/>
      <c r="N127" s="244"/>
      <c r="O127" s="289"/>
    </row>
    <row r="128" spans="1:16" s="287" customFormat="1" ht="63" x14ac:dyDescent="0.5">
      <c r="A128" s="60">
        <v>19</v>
      </c>
      <c r="B128" s="255" t="s">
        <v>1931</v>
      </c>
      <c r="C128" s="378">
        <v>12465306</v>
      </c>
      <c r="D128" s="341"/>
      <c r="E128" s="341"/>
      <c r="F128" s="294" t="s">
        <v>1932</v>
      </c>
      <c r="G128" s="341"/>
      <c r="H128" s="294"/>
      <c r="I128" s="294" t="s">
        <v>1933</v>
      </c>
      <c r="J128" s="294"/>
      <c r="K128" s="97" t="s">
        <v>1934</v>
      </c>
      <c r="L128" s="294"/>
      <c r="M128" s="294"/>
      <c r="N128" s="244"/>
      <c r="O128" s="289"/>
    </row>
    <row r="129" spans="1:16" s="341" customFormat="1" ht="42" x14ac:dyDescent="0.5">
      <c r="A129" s="60">
        <v>33</v>
      </c>
      <c r="B129" s="255" t="s">
        <v>1935</v>
      </c>
      <c r="C129" s="415">
        <v>28400400</v>
      </c>
      <c r="F129" s="294" t="s">
        <v>1936</v>
      </c>
      <c r="H129" s="294"/>
      <c r="I129" s="294" t="s">
        <v>1937</v>
      </c>
      <c r="J129" s="294"/>
      <c r="K129" s="97" t="s">
        <v>1938</v>
      </c>
      <c r="L129" s="294"/>
      <c r="M129" s="294"/>
      <c r="N129" s="97"/>
      <c r="O129" s="294"/>
    </row>
    <row r="130" spans="1:16" s="287" customFormat="1" ht="63" x14ac:dyDescent="0.5">
      <c r="A130" s="60">
        <v>21</v>
      </c>
      <c r="B130" s="255" t="s">
        <v>1939</v>
      </c>
      <c r="C130" s="362">
        <v>55886000</v>
      </c>
      <c r="D130" s="341"/>
      <c r="E130" s="341"/>
      <c r="F130" s="294" t="s">
        <v>1940</v>
      </c>
      <c r="G130" s="341"/>
      <c r="H130" s="294"/>
      <c r="I130" s="294" t="s">
        <v>1941</v>
      </c>
      <c r="J130" s="294"/>
      <c r="K130" s="97" t="s">
        <v>1942</v>
      </c>
      <c r="L130" s="294"/>
      <c r="M130" s="294"/>
      <c r="N130" s="97"/>
      <c r="O130" s="294"/>
    </row>
    <row r="131" spans="1:16" s="341" customFormat="1" ht="42" x14ac:dyDescent="0.5">
      <c r="A131" s="60">
        <v>34</v>
      </c>
      <c r="B131" s="255" t="s">
        <v>1943</v>
      </c>
      <c r="C131" s="362">
        <v>270177600</v>
      </c>
      <c r="F131" s="294" t="s">
        <v>1944</v>
      </c>
      <c r="H131" s="294"/>
      <c r="I131" s="294"/>
      <c r="J131" s="294"/>
      <c r="K131" s="97" t="s">
        <v>1945</v>
      </c>
      <c r="L131" s="294"/>
      <c r="M131" s="294"/>
      <c r="N131" s="97"/>
      <c r="O131" s="294"/>
    </row>
    <row r="132" spans="1:16" s="341" customFormat="1" ht="63" x14ac:dyDescent="0.5">
      <c r="A132" s="60">
        <v>27</v>
      </c>
      <c r="B132" s="255" t="s">
        <v>1946</v>
      </c>
      <c r="C132" s="362">
        <v>14464800</v>
      </c>
      <c r="F132" s="294" t="s">
        <v>1947</v>
      </c>
      <c r="H132" s="294"/>
      <c r="I132" s="294" t="s">
        <v>1948</v>
      </c>
      <c r="J132" s="294"/>
      <c r="K132" s="97" t="s">
        <v>1949</v>
      </c>
      <c r="L132" s="294"/>
      <c r="M132" s="294"/>
      <c r="N132" s="97"/>
      <c r="O132" s="294"/>
    </row>
    <row r="133" spans="1:16" s="341" customFormat="1" ht="42" x14ac:dyDescent="0.5">
      <c r="A133" s="60">
        <v>28</v>
      </c>
      <c r="B133" s="255" t="s">
        <v>1950</v>
      </c>
      <c r="C133" s="362">
        <v>27965280</v>
      </c>
      <c r="F133" s="294" t="s">
        <v>1951</v>
      </c>
      <c r="H133" s="294"/>
      <c r="I133" s="294" t="s">
        <v>1952</v>
      </c>
      <c r="J133" s="294"/>
      <c r="K133" s="97" t="s">
        <v>1953</v>
      </c>
      <c r="L133" s="294"/>
      <c r="M133" s="294"/>
      <c r="N133" s="97"/>
      <c r="O133" s="294"/>
    </row>
    <row r="134" spans="1:16" s="287" customFormat="1" ht="42" x14ac:dyDescent="0.5">
      <c r="A134" s="190">
        <v>5</v>
      </c>
      <c r="B134" s="253" t="s">
        <v>1954</v>
      </c>
      <c r="C134" s="416">
        <v>115532044</v>
      </c>
      <c r="F134" s="289" t="s">
        <v>735</v>
      </c>
      <c r="H134" s="289"/>
      <c r="I134" s="289"/>
      <c r="J134" s="289"/>
      <c r="K134" s="244" t="s">
        <v>1955</v>
      </c>
      <c r="L134" s="289"/>
      <c r="M134" s="417">
        <v>45017</v>
      </c>
      <c r="N134" s="190" t="s">
        <v>686</v>
      </c>
      <c r="O134" s="289"/>
    </row>
    <row r="135" spans="1:16" s="382" customFormat="1" ht="63" x14ac:dyDescent="0.5">
      <c r="A135" s="432">
        <v>24</v>
      </c>
      <c r="B135" s="399" t="s">
        <v>1956</v>
      </c>
      <c r="C135" s="412">
        <v>147363600</v>
      </c>
      <c r="D135" s="400"/>
      <c r="E135" s="400"/>
      <c r="F135" s="411" t="s">
        <v>1957</v>
      </c>
      <c r="G135" s="400"/>
      <c r="H135" s="401"/>
      <c r="I135" s="401"/>
      <c r="J135" s="401"/>
      <c r="K135" s="402" t="s">
        <v>1958</v>
      </c>
      <c r="L135" s="401"/>
      <c r="M135" s="401"/>
      <c r="N135" s="402"/>
      <c r="O135" s="401"/>
      <c r="P135" s="400"/>
    </row>
    <row r="136" spans="1:16" s="382" customFormat="1" ht="105" x14ac:dyDescent="0.5">
      <c r="A136" s="432">
        <v>2</v>
      </c>
      <c r="B136" s="399" t="s">
        <v>1959</v>
      </c>
      <c r="C136" s="429">
        <v>61178157</v>
      </c>
      <c r="D136" s="400"/>
      <c r="E136" s="400"/>
      <c r="F136" s="411" t="s">
        <v>726</v>
      </c>
      <c r="G136" s="400"/>
      <c r="H136" s="401"/>
      <c r="I136" s="401"/>
      <c r="J136" s="401"/>
      <c r="K136" s="402" t="s">
        <v>1960</v>
      </c>
      <c r="L136" s="401"/>
      <c r="M136" s="401"/>
      <c r="N136" s="402" t="s">
        <v>686</v>
      </c>
      <c r="O136" s="401"/>
    </row>
    <row r="137" spans="1:16" s="367" customFormat="1" ht="63" x14ac:dyDescent="0.5">
      <c r="A137" s="363">
        <v>12</v>
      </c>
      <c r="B137" s="364" t="s">
        <v>1961</v>
      </c>
      <c r="C137" s="469">
        <v>112840000</v>
      </c>
      <c r="D137" s="440"/>
      <c r="E137" s="440"/>
      <c r="F137" s="452" t="s">
        <v>1962</v>
      </c>
      <c r="G137" s="440"/>
      <c r="H137" s="441"/>
      <c r="I137" s="452" t="s">
        <v>1963</v>
      </c>
      <c r="J137" s="441"/>
      <c r="K137" s="442" t="s">
        <v>1964</v>
      </c>
      <c r="L137" s="441"/>
      <c r="M137" s="441"/>
      <c r="N137" s="369"/>
      <c r="O137" s="368"/>
    </row>
    <row r="138" spans="1:16" s="367" customFormat="1" ht="84" x14ac:dyDescent="0.5">
      <c r="A138" s="363">
        <v>13</v>
      </c>
      <c r="B138" s="364" t="s">
        <v>1965</v>
      </c>
      <c r="C138" s="453">
        <v>49837950</v>
      </c>
      <c r="D138" s="368" t="s">
        <v>1966</v>
      </c>
      <c r="F138" s="410" t="s">
        <v>841</v>
      </c>
      <c r="H138" s="368"/>
      <c r="I138" s="410" t="s">
        <v>1967</v>
      </c>
      <c r="J138" s="368"/>
      <c r="K138" s="369" t="s">
        <v>1968</v>
      </c>
      <c r="L138" s="368"/>
      <c r="M138" s="368"/>
      <c r="N138" s="369"/>
      <c r="O138" s="368"/>
    </row>
    <row r="139" spans="1:16" s="400" customFormat="1" ht="105" x14ac:dyDescent="0.5">
      <c r="A139" s="432">
        <v>20</v>
      </c>
      <c r="B139" s="399" t="s">
        <v>1969</v>
      </c>
      <c r="C139" s="444">
        <v>106510106</v>
      </c>
      <c r="D139" s="401" t="s">
        <v>1970</v>
      </c>
      <c r="F139" s="401" t="s">
        <v>1971</v>
      </c>
      <c r="H139" s="401"/>
      <c r="I139" s="401" t="s">
        <v>1972</v>
      </c>
      <c r="J139" s="401"/>
      <c r="K139" s="402" t="s">
        <v>1973</v>
      </c>
      <c r="L139" s="401"/>
      <c r="M139" s="401"/>
      <c r="N139" s="402"/>
      <c r="O139" s="401"/>
    </row>
    <row r="140" spans="1:16" s="400" customFormat="1" ht="63" x14ac:dyDescent="0.5">
      <c r="A140" s="432">
        <v>21</v>
      </c>
      <c r="B140" s="399" t="s">
        <v>1974</v>
      </c>
      <c r="C140" s="444">
        <v>267698700</v>
      </c>
      <c r="F140" s="401" t="s">
        <v>302</v>
      </c>
      <c r="H140" s="401"/>
      <c r="I140" s="401" t="s">
        <v>1975</v>
      </c>
      <c r="J140" s="401"/>
      <c r="K140" s="402" t="s">
        <v>1976</v>
      </c>
      <c r="L140" s="401"/>
      <c r="M140" s="401"/>
      <c r="N140" s="402"/>
      <c r="O140" s="401"/>
    </row>
    <row r="141" spans="1:16" s="341" customFormat="1" ht="63" x14ac:dyDescent="0.5">
      <c r="A141" s="60">
        <v>34</v>
      </c>
      <c r="B141" s="255" t="s">
        <v>1977</v>
      </c>
      <c r="C141" s="362">
        <v>285138700</v>
      </c>
      <c r="F141" s="294" t="s">
        <v>1978</v>
      </c>
      <c r="H141" s="294"/>
      <c r="I141" s="294" t="s">
        <v>1979</v>
      </c>
      <c r="J141" s="294"/>
      <c r="K141" s="97" t="s">
        <v>1980</v>
      </c>
      <c r="L141" s="294"/>
      <c r="M141" s="294"/>
      <c r="N141" s="97"/>
      <c r="O141" s="294"/>
    </row>
    <row r="142" spans="1:16" s="287" customFormat="1" ht="42" x14ac:dyDescent="0.5">
      <c r="A142" s="190">
        <v>39</v>
      </c>
      <c r="B142" s="253" t="s">
        <v>1981</v>
      </c>
      <c r="C142" s="386">
        <v>16640000</v>
      </c>
      <c r="F142" s="289" t="s">
        <v>969</v>
      </c>
      <c r="H142" s="289"/>
      <c r="I142" s="289" t="s">
        <v>1982</v>
      </c>
      <c r="J142" s="289"/>
      <c r="K142" s="244" t="s">
        <v>1983</v>
      </c>
      <c r="L142" s="289"/>
      <c r="M142" s="289"/>
      <c r="N142" s="244"/>
      <c r="O142" s="289"/>
    </row>
    <row r="143" spans="1:16" s="367" customFormat="1" ht="84" x14ac:dyDescent="0.5">
      <c r="A143" s="363">
        <v>25</v>
      </c>
      <c r="B143" s="364" t="s">
        <v>1984</v>
      </c>
      <c r="C143" s="365">
        <v>72712050.450000003</v>
      </c>
      <c r="F143" s="410" t="s">
        <v>302</v>
      </c>
      <c r="H143" s="368"/>
      <c r="I143" s="368" t="s">
        <v>1985</v>
      </c>
      <c r="J143" s="368"/>
      <c r="K143" s="369" t="s">
        <v>1986</v>
      </c>
      <c r="L143" s="368"/>
      <c r="M143" s="368"/>
      <c r="N143" s="369"/>
      <c r="O143" s="368"/>
      <c r="P143" s="374"/>
    </row>
    <row r="144" spans="1:16" s="372" customFormat="1" ht="147" x14ac:dyDescent="0.5">
      <c r="A144" s="363">
        <v>1</v>
      </c>
      <c r="B144" s="364" t="s">
        <v>250</v>
      </c>
      <c r="C144" s="376">
        <f>288802500+344822400</f>
        <v>633624900</v>
      </c>
      <c r="D144" s="369" t="s">
        <v>228</v>
      </c>
      <c r="E144" s="369"/>
      <c r="F144" s="410" t="s">
        <v>251</v>
      </c>
      <c r="G144" s="367"/>
      <c r="H144" s="368"/>
      <c r="I144" s="368"/>
      <c r="J144" s="368"/>
      <c r="K144" s="369" t="s">
        <v>1987</v>
      </c>
      <c r="L144" s="368"/>
      <c r="M144" s="369" t="s">
        <v>253</v>
      </c>
      <c r="N144" s="369" t="s">
        <v>254</v>
      </c>
      <c r="O144" s="368"/>
    </row>
    <row r="145" spans="1:16" s="287" customFormat="1" ht="63" x14ac:dyDescent="0.5">
      <c r="A145" s="60">
        <v>14</v>
      </c>
      <c r="B145" s="346" t="s">
        <v>297</v>
      </c>
      <c r="C145" s="458">
        <f>144762500+125820000</f>
        <v>270582500</v>
      </c>
      <c r="D145" s="349"/>
      <c r="E145" s="349"/>
      <c r="F145" s="350" t="s">
        <v>298</v>
      </c>
      <c r="G145" s="349"/>
      <c r="H145" s="350"/>
      <c r="I145" s="61" t="s">
        <v>299</v>
      </c>
      <c r="J145" s="350"/>
      <c r="K145" s="97" t="s">
        <v>1988</v>
      </c>
      <c r="L145" s="350"/>
      <c r="M145" s="350"/>
      <c r="N145" s="348"/>
      <c r="O145" s="350"/>
    </row>
    <row r="146" spans="1:16" s="382" customFormat="1" ht="63" x14ac:dyDescent="0.5">
      <c r="A146" s="461">
        <v>15</v>
      </c>
      <c r="B146" s="460" t="s">
        <v>301</v>
      </c>
      <c r="C146" s="462">
        <v>232113950</v>
      </c>
      <c r="D146" s="463"/>
      <c r="E146" s="463"/>
      <c r="F146" s="464" t="s">
        <v>302</v>
      </c>
      <c r="G146" s="463"/>
      <c r="H146" s="465"/>
      <c r="I146" s="464" t="s">
        <v>303</v>
      </c>
      <c r="J146" s="465"/>
      <c r="K146" s="466" t="s">
        <v>1989</v>
      </c>
      <c r="L146" s="465"/>
      <c r="M146" s="465"/>
      <c r="N146" s="466"/>
      <c r="O146" s="465"/>
      <c r="P146" s="463"/>
    </row>
    <row r="147" spans="1:16" s="287" customFormat="1" ht="105" x14ac:dyDescent="0.5">
      <c r="A147" s="60">
        <v>11</v>
      </c>
      <c r="B147" s="255" t="s">
        <v>287</v>
      </c>
      <c r="C147" s="362">
        <v>177514000</v>
      </c>
      <c r="D147" s="341"/>
      <c r="E147" s="341" t="s">
        <v>275</v>
      </c>
      <c r="F147" s="294" t="s">
        <v>284</v>
      </c>
      <c r="G147" s="341"/>
      <c r="H147" s="294"/>
      <c r="I147" s="294" t="s">
        <v>288</v>
      </c>
      <c r="J147" s="294"/>
      <c r="K147" s="97" t="s">
        <v>1990</v>
      </c>
      <c r="L147" s="294"/>
      <c r="M147" s="294"/>
      <c r="N147" s="97"/>
      <c r="O147" s="294"/>
    </row>
    <row r="148" spans="1:16" s="341" customFormat="1" ht="147" x14ac:dyDescent="0.5">
      <c r="A148" s="60">
        <v>12</v>
      </c>
      <c r="B148" s="255" t="s">
        <v>309</v>
      </c>
      <c r="C148" s="375">
        <v>978017535</v>
      </c>
      <c r="F148" s="255" t="s">
        <v>310</v>
      </c>
      <c r="H148" s="294"/>
      <c r="I148" s="97" t="s">
        <v>1991</v>
      </c>
      <c r="J148" s="294"/>
      <c r="K148" s="97" t="s">
        <v>1992</v>
      </c>
      <c r="L148" s="294"/>
      <c r="M148" s="294"/>
      <c r="N148" s="97"/>
      <c r="O148" s="294"/>
    </row>
    <row r="149" spans="1:16" s="367" customFormat="1" ht="63" x14ac:dyDescent="0.5">
      <c r="A149" s="481">
        <v>24</v>
      </c>
      <c r="B149" s="364" t="s">
        <v>1993</v>
      </c>
      <c r="C149" s="492">
        <v>66562165</v>
      </c>
      <c r="D149" s="363" t="s">
        <v>34</v>
      </c>
      <c r="E149" s="368"/>
      <c r="F149" s="368" t="s">
        <v>1053</v>
      </c>
      <c r="G149" s="368" t="s">
        <v>1994</v>
      </c>
      <c r="H149" s="368"/>
      <c r="I149" s="368"/>
      <c r="J149" s="368"/>
      <c r="K149" s="369" t="s">
        <v>1995</v>
      </c>
      <c r="L149" s="368"/>
      <c r="M149" s="368"/>
      <c r="N149" s="369"/>
      <c r="O149" s="368"/>
    </row>
    <row r="150" spans="1:16" s="287" customFormat="1" ht="84" x14ac:dyDescent="0.5">
      <c r="A150" s="481">
        <v>10</v>
      </c>
      <c r="B150" s="255" t="s">
        <v>283</v>
      </c>
      <c r="C150" s="362">
        <v>151903200</v>
      </c>
      <c r="D150" s="341"/>
      <c r="E150" s="341" t="s">
        <v>275</v>
      </c>
      <c r="F150" s="294" t="s">
        <v>284</v>
      </c>
      <c r="G150" s="341"/>
      <c r="H150" s="294"/>
      <c r="I150" s="294" t="s">
        <v>285</v>
      </c>
      <c r="J150" s="294"/>
      <c r="K150" s="97" t="s">
        <v>1996</v>
      </c>
      <c r="L150" s="294"/>
      <c r="M150" s="294"/>
      <c r="N150" s="97"/>
      <c r="O150" s="294"/>
    </row>
    <row r="151" spans="1:16" s="400" customFormat="1" ht="84" x14ac:dyDescent="0.5">
      <c r="A151" s="481">
        <v>18</v>
      </c>
      <c r="B151" s="399" t="s">
        <v>1997</v>
      </c>
      <c r="C151" s="444">
        <v>293450700</v>
      </c>
      <c r="E151" s="401" t="s">
        <v>1998</v>
      </c>
      <c r="F151" s="399" t="s">
        <v>1999</v>
      </c>
      <c r="H151" s="401"/>
      <c r="I151" s="401" t="s">
        <v>2000</v>
      </c>
      <c r="J151" s="401"/>
      <c r="K151" s="402" t="s">
        <v>2001</v>
      </c>
      <c r="L151" s="401"/>
      <c r="M151" s="401"/>
      <c r="N151" s="402"/>
      <c r="O151" s="401"/>
    </row>
    <row r="152" spans="1:16" s="341" customFormat="1" ht="42" x14ac:dyDescent="0.5">
      <c r="A152" s="60">
        <v>44</v>
      </c>
      <c r="B152" s="255" t="s">
        <v>2002</v>
      </c>
      <c r="C152" s="496">
        <v>28975500</v>
      </c>
      <c r="F152" s="294" t="s">
        <v>762</v>
      </c>
      <c r="H152" s="294"/>
      <c r="I152" s="294"/>
      <c r="J152" s="294"/>
      <c r="K152" s="97" t="s">
        <v>2003</v>
      </c>
      <c r="L152" s="294"/>
      <c r="M152" s="294"/>
      <c r="N152" s="97"/>
      <c r="O152" s="294"/>
    </row>
    <row r="153" spans="1:16" s="287" customFormat="1" ht="147" x14ac:dyDescent="0.5">
      <c r="A153" s="60">
        <v>5</v>
      </c>
      <c r="B153" s="255" t="s">
        <v>273</v>
      </c>
      <c r="C153" s="375">
        <v>579778800</v>
      </c>
      <c r="D153" s="61" t="s">
        <v>246</v>
      </c>
      <c r="E153" s="61" t="s">
        <v>2004</v>
      </c>
      <c r="F153" s="61" t="s">
        <v>271</v>
      </c>
      <c r="G153" s="341"/>
      <c r="H153" s="294"/>
      <c r="I153" s="294"/>
      <c r="J153" s="294"/>
      <c r="K153" s="97" t="s">
        <v>2005</v>
      </c>
      <c r="L153" s="294"/>
      <c r="M153" s="294"/>
      <c r="N153" s="244"/>
      <c r="O153" s="289"/>
    </row>
    <row r="154" spans="1:16" s="287" customFormat="1" ht="66.75" customHeight="1" x14ac:dyDescent="0.5">
      <c r="A154" s="481">
        <v>10</v>
      </c>
      <c r="B154" s="255" t="s">
        <v>323</v>
      </c>
      <c r="C154" s="362">
        <v>56165760</v>
      </c>
      <c r="D154" s="341"/>
      <c r="E154" s="341"/>
      <c r="F154" s="97" t="s">
        <v>256</v>
      </c>
      <c r="G154" s="341"/>
      <c r="H154" s="294"/>
      <c r="I154" s="294" t="s">
        <v>2006</v>
      </c>
      <c r="J154" s="294"/>
      <c r="K154" s="97" t="s">
        <v>2007</v>
      </c>
      <c r="L154" s="294"/>
      <c r="M154" s="294"/>
      <c r="N154" s="97"/>
      <c r="O154" s="294"/>
    </row>
    <row r="155" spans="1:16" s="287" customFormat="1" ht="147" x14ac:dyDescent="0.5">
      <c r="A155" s="481">
        <v>12</v>
      </c>
      <c r="B155" s="255" t="s">
        <v>2008</v>
      </c>
      <c r="C155" s="378">
        <v>272474496</v>
      </c>
      <c r="D155" s="491" t="s">
        <v>2009</v>
      </c>
      <c r="E155" s="341"/>
      <c r="F155" s="61" t="s">
        <v>256</v>
      </c>
      <c r="G155" s="341"/>
      <c r="H155" s="294"/>
      <c r="I155" s="294" t="s">
        <v>2010</v>
      </c>
      <c r="J155" s="294"/>
      <c r="K155" s="97" t="s">
        <v>2011</v>
      </c>
      <c r="L155" s="294"/>
      <c r="M155" s="294"/>
      <c r="N155" s="97"/>
      <c r="O155" s="294"/>
    </row>
    <row r="156" spans="1:16" s="382" customFormat="1" ht="63" x14ac:dyDescent="0.5">
      <c r="A156" s="60">
        <v>15</v>
      </c>
      <c r="B156" s="399" t="s">
        <v>2012</v>
      </c>
      <c r="C156" s="429">
        <v>250000000</v>
      </c>
      <c r="D156" s="432" t="s">
        <v>34</v>
      </c>
      <c r="E156" s="399" t="s">
        <v>2013</v>
      </c>
      <c r="F156" s="411" t="s">
        <v>246</v>
      </c>
      <c r="G156" s="401" t="s">
        <v>2014</v>
      </c>
      <c r="H156" s="401"/>
      <c r="I156" s="401"/>
      <c r="J156" s="401"/>
      <c r="K156" s="402" t="s">
        <v>2015</v>
      </c>
      <c r="L156" s="401"/>
      <c r="M156" s="401"/>
      <c r="N156" s="402"/>
      <c r="O156" s="401"/>
    </row>
    <row r="157" spans="1:16" s="343" customFormat="1" ht="63" x14ac:dyDescent="0.5">
      <c r="A157" s="481">
        <v>28</v>
      </c>
      <c r="B157" s="306" t="s">
        <v>2016</v>
      </c>
      <c r="C157" s="493">
        <v>140791778</v>
      </c>
      <c r="D157" s="305" t="s">
        <v>2017</v>
      </c>
      <c r="F157" s="309" t="s">
        <v>113</v>
      </c>
      <c r="H157" s="309"/>
      <c r="I157" s="309"/>
      <c r="J157" s="309"/>
      <c r="K157" s="308" t="s">
        <v>2018</v>
      </c>
      <c r="L157" s="309"/>
      <c r="M157" s="309"/>
      <c r="N157" s="308"/>
      <c r="O157" s="309"/>
    </row>
    <row r="158" spans="1:16" s="341" customFormat="1" ht="63" x14ac:dyDescent="0.5">
      <c r="A158" s="481">
        <v>28</v>
      </c>
      <c r="B158" s="255" t="s">
        <v>2019</v>
      </c>
      <c r="C158" s="375">
        <v>109285600</v>
      </c>
      <c r="F158" s="294" t="s">
        <v>111</v>
      </c>
      <c r="H158" s="294"/>
      <c r="I158" s="294"/>
      <c r="J158" s="294"/>
      <c r="K158" s="97" t="s">
        <v>2020</v>
      </c>
      <c r="L158" s="294"/>
      <c r="M158" s="294"/>
      <c r="N158" s="97"/>
      <c r="O158" s="294"/>
    </row>
    <row r="159" spans="1:16" s="287" customFormat="1" ht="42" x14ac:dyDescent="0.5">
      <c r="A159" s="60">
        <v>11</v>
      </c>
      <c r="B159" s="255" t="s">
        <v>2021</v>
      </c>
      <c r="C159" s="378">
        <f>86519700+649980000+344700</f>
        <v>736844400</v>
      </c>
      <c r="D159" s="491" t="s">
        <v>2022</v>
      </c>
      <c r="E159" s="341"/>
      <c r="F159" s="61" t="s">
        <v>256</v>
      </c>
      <c r="G159" s="341"/>
      <c r="H159" s="294"/>
      <c r="I159" s="294"/>
      <c r="J159" s="294"/>
      <c r="K159" s="97" t="s">
        <v>2023</v>
      </c>
      <c r="L159" s="294"/>
      <c r="M159" s="294"/>
      <c r="N159" s="97"/>
      <c r="O159" s="294"/>
    </row>
    <row r="160" spans="1:16" s="287" customFormat="1" ht="21" x14ac:dyDescent="0.5">
      <c r="A160" s="60">
        <v>9</v>
      </c>
      <c r="B160" s="255" t="s">
        <v>290</v>
      </c>
      <c r="C160" s="341"/>
      <c r="D160" s="341"/>
      <c r="E160" s="341"/>
      <c r="F160" s="294"/>
      <c r="G160" s="341"/>
      <c r="H160" s="294"/>
      <c r="I160" s="294"/>
      <c r="J160" s="294"/>
      <c r="K160" s="97" t="s">
        <v>291</v>
      </c>
      <c r="L160" s="294"/>
      <c r="M160" s="294"/>
      <c r="N160" s="97"/>
      <c r="O160" s="294"/>
    </row>
    <row r="161" spans="1:15" s="343" customFormat="1" ht="63" x14ac:dyDescent="0.5">
      <c r="A161" s="481">
        <v>26</v>
      </c>
      <c r="B161" s="306" t="s">
        <v>2024</v>
      </c>
      <c r="C161" s="497">
        <v>90351598</v>
      </c>
      <c r="D161" s="309" t="s">
        <v>2025</v>
      </c>
      <c r="F161" s="309" t="s">
        <v>113</v>
      </c>
      <c r="H161" s="309"/>
      <c r="I161" s="309"/>
      <c r="J161" s="309"/>
      <c r="K161" s="308" t="s">
        <v>2026</v>
      </c>
      <c r="L161" s="309"/>
      <c r="M161" s="309"/>
      <c r="N161" s="308"/>
      <c r="O161" s="309"/>
    </row>
    <row r="162" spans="1:15" s="367" customFormat="1" ht="105" x14ac:dyDescent="0.5">
      <c r="A162" s="481">
        <v>22</v>
      </c>
      <c r="B162" s="364" t="s">
        <v>2027</v>
      </c>
      <c r="C162" s="409">
        <v>200380463</v>
      </c>
      <c r="D162" s="363" t="s">
        <v>2017</v>
      </c>
      <c r="F162" s="410" t="s">
        <v>113</v>
      </c>
      <c r="H162" s="368"/>
      <c r="I162" s="368"/>
      <c r="J162" s="368"/>
      <c r="K162" s="97" t="s">
        <v>2028</v>
      </c>
      <c r="L162" s="368"/>
      <c r="M162" s="368"/>
      <c r="N162" s="369"/>
      <c r="O162" s="368"/>
    </row>
    <row r="163" spans="1:15" s="367" customFormat="1" ht="63" x14ac:dyDescent="0.5">
      <c r="A163" s="481">
        <v>38</v>
      </c>
      <c r="B163" s="364" t="s">
        <v>2029</v>
      </c>
      <c r="C163" s="377">
        <v>1300000000</v>
      </c>
      <c r="F163" s="368" t="s">
        <v>113</v>
      </c>
      <c r="H163" s="368"/>
      <c r="I163" s="368"/>
      <c r="J163" s="368"/>
      <c r="K163" s="369" t="s">
        <v>2030</v>
      </c>
      <c r="L163" s="368"/>
      <c r="M163" s="368"/>
      <c r="N163" s="369"/>
      <c r="O163" s="368"/>
    </row>
    <row r="164" spans="1:15" s="287" customFormat="1" ht="168" x14ac:dyDescent="0.5">
      <c r="A164" s="481">
        <v>4</v>
      </c>
      <c r="B164" s="255" t="s">
        <v>268</v>
      </c>
      <c r="C164" s="378">
        <v>1017196840</v>
      </c>
      <c r="D164" s="294" t="s">
        <v>2031</v>
      </c>
      <c r="E164" s="294" t="s">
        <v>2032</v>
      </c>
      <c r="F164" s="61" t="s">
        <v>271</v>
      </c>
      <c r="G164" s="341"/>
      <c r="H164" s="294"/>
      <c r="I164" s="294"/>
      <c r="J164" s="294"/>
      <c r="K164" s="97" t="s">
        <v>2033</v>
      </c>
      <c r="L164" s="294"/>
      <c r="M164" s="294"/>
      <c r="N164" s="244"/>
      <c r="O164" s="289"/>
    </row>
    <row r="165" spans="1:15" s="310" customFormat="1" ht="409.5" x14ac:dyDescent="0.5">
      <c r="A165" s="481">
        <v>2</v>
      </c>
      <c r="B165" s="482" t="s">
        <v>259</v>
      </c>
      <c r="C165" s="483">
        <v>3186135459</v>
      </c>
      <c r="D165" s="484"/>
      <c r="E165" s="339"/>
      <c r="F165" s="485" t="s">
        <v>260</v>
      </c>
      <c r="G165" s="486" t="s">
        <v>261</v>
      </c>
      <c r="H165" s="487"/>
      <c r="I165" s="488" t="s">
        <v>262</v>
      </c>
      <c r="J165" s="488" t="s">
        <v>263</v>
      </c>
      <c r="K165" s="488" t="s">
        <v>2034</v>
      </c>
      <c r="L165" s="487"/>
      <c r="M165" s="489" t="s">
        <v>265</v>
      </c>
      <c r="N165" s="487"/>
      <c r="O165" s="489" t="s">
        <v>266</v>
      </c>
    </row>
    <row r="166" spans="1:15" s="287" customFormat="1" ht="126" x14ac:dyDescent="0.5">
      <c r="A166" s="60">
        <v>9</v>
      </c>
      <c r="B166" s="255" t="s">
        <v>348</v>
      </c>
      <c r="C166" s="378">
        <v>276864600</v>
      </c>
      <c r="D166" s="61"/>
      <c r="E166" s="97"/>
      <c r="F166" s="97" t="s">
        <v>349</v>
      </c>
      <c r="G166" s="341"/>
      <c r="H166" s="294"/>
      <c r="I166" s="97" t="s">
        <v>2035</v>
      </c>
      <c r="J166" s="294"/>
      <c r="K166" s="97" t="s">
        <v>2036</v>
      </c>
      <c r="L166" s="294"/>
      <c r="M166" s="294"/>
      <c r="N166" s="97"/>
      <c r="O166" s="294"/>
    </row>
    <row r="167" spans="1:15" s="287" customFormat="1" ht="63" x14ac:dyDescent="0.5">
      <c r="A167" s="60">
        <v>11</v>
      </c>
      <c r="B167" s="255" t="s">
        <v>363</v>
      </c>
      <c r="C167" s="378">
        <v>121924300</v>
      </c>
      <c r="D167" s="294"/>
      <c r="E167" s="502" t="s">
        <v>2037</v>
      </c>
      <c r="F167" s="294" t="s">
        <v>2038</v>
      </c>
      <c r="G167" s="341"/>
      <c r="H167" s="294"/>
      <c r="I167" s="97" t="s">
        <v>2039</v>
      </c>
      <c r="J167" s="294"/>
      <c r="K167" s="97" t="s">
        <v>2040</v>
      </c>
      <c r="L167" s="294"/>
      <c r="M167" s="294"/>
      <c r="N167" s="97"/>
      <c r="O167" s="294"/>
    </row>
    <row r="168" spans="1:15" s="343" customFormat="1" ht="42" x14ac:dyDescent="0.5">
      <c r="A168" s="60">
        <v>19</v>
      </c>
      <c r="B168" s="306" t="s">
        <v>2041</v>
      </c>
      <c r="C168" s="499">
        <v>176622000</v>
      </c>
      <c r="D168" s="305" t="s">
        <v>34</v>
      </c>
      <c r="E168" s="309" t="s">
        <v>2042</v>
      </c>
      <c r="F168" s="358" t="s">
        <v>1181</v>
      </c>
      <c r="H168" s="309"/>
      <c r="I168" s="309"/>
      <c r="J168" s="309"/>
      <c r="K168" s="308" t="s">
        <v>2043</v>
      </c>
      <c r="L168" s="309"/>
      <c r="M168" s="309"/>
      <c r="N168" s="308"/>
      <c r="O168" s="309"/>
    </row>
    <row r="169" spans="1:15" s="367" customFormat="1" ht="126" x14ac:dyDescent="0.5">
      <c r="A169" s="60">
        <v>14</v>
      </c>
      <c r="B169" s="364" t="s">
        <v>2044</v>
      </c>
      <c r="C169" s="365">
        <v>227403000</v>
      </c>
      <c r="D169" s="367" t="s">
        <v>34</v>
      </c>
      <c r="E169" s="364"/>
      <c r="F169" s="410" t="s">
        <v>113</v>
      </c>
      <c r="H169" s="368"/>
      <c r="I169" s="368"/>
      <c r="J169" s="368"/>
      <c r="K169" s="97" t="s">
        <v>2045</v>
      </c>
      <c r="L169" s="368"/>
      <c r="M169" s="368"/>
      <c r="N169" s="369"/>
      <c r="O169" s="368"/>
    </row>
    <row r="170" spans="1:15" s="341" customFormat="1" ht="63" x14ac:dyDescent="0.5">
      <c r="A170" s="60">
        <v>15</v>
      </c>
      <c r="B170" s="255" t="s">
        <v>2046</v>
      </c>
      <c r="C170" s="378">
        <v>177105600</v>
      </c>
      <c r="F170" s="294" t="s">
        <v>996</v>
      </c>
      <c r="H170" s="294"/>
      <c r="I170" s="294"/>
      <c r="J170" s="294"/>
      <c r="K170" s="97" t="s">
        <v>2047</v>
      </c>
      <c r="L170" s="294"/>
      <c r="M170" s="294"/>
      <c r="N170" s="97"/>
      <c r="O170" s="294"/>
    </row>
    <row r="171" spans="1:15" s="367" customFormat="1" ht="105" x14ac:dyDescent="0.5">
      <c r="A171" s="60">
        <v>20</v>
      </c>
      <c r="B171" s="364" t="s">
        <v>2048</v>
      </c>
      <c r="D171" s="498" t="s">
        <v>2049</v>
      </c>
      <c r="F171" s="368" t="s">
        <v>113</v>
      </c>
      <c r="H171" s="368"/>
      <c r="I171" s="368"/>
      <c r="J171" s="368"/>
      <c r="K171" s="369" t="s">
        <v>2050</v>
      </c>
      <c r="L171" s="368"/>
      <c r="M171" s="368"/>
      <c r="N171" s="369"/>
      <c r="O171" s="368"/>
    </row>
    <row r="172" spans="1:15" s="367" customFormat="1" ht="84" x14ac:dyDescent="0.5">
      <c r="A172" s="363">
        <v>31</v>
      </c>
      <c r="B172" s="364" t="s">
        <v>2051</v>
      </c>
      <c r="D172" s="367" t="s">
        <v>2052</v>
      </c>
      <c r="F172" s="368" t="s">
        <v>113</v>
      </c>
      <c r="H172" s="368"/>
      <c r="I172" s="368"/>
      <c r="J172" s="368"/>
      <c r="K172" s="369" t="s">
        <v>2053</v>
      </c>
      <c r="L172" s="368"/>
      <c r="M172" s="368"/>
      <c r="N172" s="369"/>
      <c r="O172" s="368"/>
    </row>
    <row r="173" spans="1:15" s="287" customFormat="1" ht="42" x14ac:dyDescent="0.5">
      <c r="A173" s="60">
        <v>8</v>
      </c>
      <c r="B173" s="253" t="s">
        <v>2054</v>
      </c>
      <c r="C173" s="386">
        <v>21867050</v>
      </c>
      <c r="F173" s="289" t="s">
        <v>2055</v>
      </c>
      <c r="H173" s="289"/>
      <c r="I173" s="289"/>
      <c r="J173" s="289"/>
      <c r="K173" s="244" t="s">
        <v>2056</v>
      </c>
      <c r="L173" s="289"/>
      <c r="M173" s="289"/>
      <c r="N173" s="244"/>
      <c r="O173" s="289"/>
    </row>
    <row r="174" spans="1:15" s="341" customFormat="1" ht="42" x14ac:dyDescent="0.5">
      <c r="A174" s="60">
        <v>17</v>
      </c>
      <c r="B174" s="255" t="s">
        <v>2057</v>
      </c>
      <c r="C174" s="378">
        <v>504054300</v>
      </c>
      <c r="F174" s="294" t="s">
        <v>817</v>
      </c>
      <c r="H174" s="294"/>
      <c r="I174" s="294"/>
      <c r="J174" s="294"/>
      <c r="K174" s="97" t="s">
        <v>2058</v>
      </c>
      <c r="L174" s="294"/>
      <c r="M174" s="294"/>
      <c r="N174" s="97"/>
      <c r="O174" s="294"/>
    </row>
    <row r="175" spans="1:15" s="400" customFormat="1" ht="87.75" customHeight="1" x14ac:dyDescent="0.5">
      <c r="A175" s="60">
        <v>18</v>
      </c>
      <c r="B175" s="399" t="s">
        <v>2059</v>
      </c>
      <c r="C175" s="444">
        <v>294483000</v>
      </c>
      <c r="D175" s="432" t="s">
        <v>34</v>
      </c>
      <c r="F175" s="401" t="s">
        <v>113</v>
      </c>
      <c r="H175" s="401"/>
      <c r="I175" s="401"/>
      <c r="J175" s="401"/>
      <c r="K175" s="402" t="s">
        <v>2060</v>
      </c>
      <c r="L175" s="401"/>
      <c r="M175" s="401"/>
      <c r="N175" s="402"/>
      <c r="O175" s="401"/>
    </row>
    <row r="176" spans="1:15" s="287" customFormat="1" ht="21" x14ac:dyDescent="0.5">
      <c r="A176" s="60">
        <v>46</v>
      </c>
      <c r="B176" s="255" t="s">
        <v>2061</v>
      </c>
      <c r="C176" s="362">
        <v>99221760</v>
      </c>
      <c r="D176" s="341"/>
      <c r="E176" s="341"/>
      <c r="F176" s="294" t="s">
        <v>2062</v>
      </c>
      <c r="G176" s="341"/>
      <c r="H176" s="294"/>
      <c r="I176" s="294"/>
      <c r="J176" s="294"/>
      <c r="K176" s="97" t="s">
        <v>2063</v>
      </c>
      <c r="L176" s="294"/>
      <c r="M176" s="294"/>
      <c r="N176" s="97"/>
      <c r="O176" s="294"/>
    </row>
    <row r="177" spans="1:15" s="367" customFormat="1" ht="84" x14ac:dyDescent="0.5">
      <c r="A177" s="60">
        <v>9</v>
      </c>
      <c r="B177" s="364" t="s">
        <v>2064</v>
      </c>
      <c r="C177" s="498">
        <v>1441000000</v>
      </c>
      <c r="D177" s="369"/>
      <c r="E177" s="369" t="s">
        <v>2065</v>
      </c>
      <c r="F177" s="369" t="s">
        <v>1067</v>
      </c>
      <c r="H177" s="368"/>
      <c r="I177" s="368"/>
      <c r="J177" s="368"/>
      <c r="K177" s="369" t="s">
        <v>2066</v>
      </c>
      <c r="L177" s="368"/>
      <c r="M177" s="368"/>
      <c r="N177" s="369"/>
      <c r="O177" s="368"/>
    </row>
    <row r="178" spans="1:15" s="367" customFormat="1" ht="126" x14ac:dyDescent="0.5">
      <c r="A178" s="60">
        <v>10</v>
      </c>
      <c r="B178" s="364" t="s">
        <v>2067</v>
      </c>
      <c r="D178" s="410" t="s">
        <v>2068</v>
      </c>
      <c r="E178" s="369" t="s">
        <v>2069</v>
      </c>
      <c r="F178" s="410" t="s">
        <v>2070</v>
      </c>
      <c r="H178" s="368"/>
      <c r="I178" s="368"/>
      <c r="J178" s="368"/>
      <c r="K178" s="369" t="s">
        <v>2071</v>
      </c>
      <c r="L178" s="368"/>
      <c r="M178" s="368"/>
      <c r="N178" s="369"/>
      <c r="O178" s="368"/>
    </row>
    <row r="179" spans="1:15" s="287" customFormat="1" ht="42" x14ac:dyDescent="0.5">
      <c r="A179" s="60">
        <v>5</v>
      </c>
      <c r="B179" s="255" t="s">
        <v>327</v>
      </c>
      <c r="C179" s="375">
        <v>292034400</v>
      </c>
      <c r="D179" s="61"/>
      <c r="E179" s="375"/>
      <c r="F179" s="61" t="s">
        <v>328</v>
      </c>
      <c r="G179" s="341"/>
      <c r="H179" s="294"/>
      <c r="I179" s="294" t="s">
        <v>329</v>
      </c>
      <c r="J179" s="294"/>
      <c r="K179" s="97" t="s">
        <v>2072</v>
      </c>
      <c r="L179" s="294"/>
      <c r="M179" s="294"/>
      <c r="N179" s="97"/>
      <c r="O179" s="294"/>
    </row>
    <row r="180" spans="1:15" s="287" customFormat="1" ht="105" x14ac:dyDescent="0.5">
      <c r="A180" s="60">
        <v>43</v>
      </c>
      <c r="B180" s="255" t="s">
        <v>2073</v>
      </c>
      <c r="C180" s="378">
        <v>249838020</v>
      </c>
      <c r="D180" s="341"/>
      <c r="E180" s="341"/>
      <c r="F180" s="294" t="s">
        <v>179</v>
      </c>
      <c r="G180" s="341"/>
      <c r="H180" s="294"/>
      <c r="I180" s="294"/>
      <c r="J180" s="294"/>
      <c r="K180" s="97" t="s">
        <v>2074</v>
      </c>
      <c r="L180" s="294"/>
      <c r="M180" s="294"/>
      <c r="N180" s="97"/>
      <c r="O180" s="294"/>
    </row>
    <row r="181" spans="1:15" s="287" customFormat="1" ht="42" x14ac:dyDescent="0.5">
      <c r="A181" s="60">
        <v>43</v>
      </c>
      <c r="B181" s="255" t="s">
        <v>1339</v>
      </c>
      <c r="C181" s="362">
        <v>46875000</v>
      </c>
      <c r="D181" s="362"/>
      <c r="E181" s="341"/>
      <c r="F181" s="294" t="s">
        <v>2075</v>
      </c>
      <c r="G181" s="341"/>
      <c r="H181" s="294"/>
      <c r="I181" s="294"/>
      <c r="J181" s="294"/>
      <c r="K181" s="97" t="s">
        <v>2076</v>
      </c>
      <c r="L181" s="294"/>
      <c r="M181" s="294"/>
      <c r="N181" s="97"/>
      <c r="O181" s="294"/>
    </row>
    <row r="182" spans="1:15" s="372" customFormat="1" ht="42" x14ac:dyDescent="0.5">
      <c r="A182" s="60">
        <v>6</v>
      </c>
      <c r="B182" s="364" t="s">
        <v>327</v>
      </c>
      <c r="C182" s="376">
        <v>775758900</v>
      </c>
      <c r="D182" s="410"/>
      <c r="E182" s="376"/>
      <c r="F182" s="410" t="s">
        <v>2077</v>
      </c>
      <c r="G182" s="367"/>
      <c r="H182" s="368"/>
      <c r="I182" s="368" t="s">
        <v>329</v>
      </c>
      <c r="J182" s="368"/>
      <c r="K182" s="369" t="s">
        <v>2078</v>
      </c>
      <c r="L182" s="368"/>
      <c r="M182" s="368"/>
      <c r="N182" s="369"/>
      <c r="O182" s="368"/>
    </row>
    <row r="183" spans="1:15" s="341" customFormat="1" ht="42" x14ac:dyDescent="0.5">
      <c r="A183" s="60">
        <v>19</v>
      </c>
      <c r="B183" s="255" t="s">
        <v>2079</v>
      </c>
      <c r="C183" s="362">
        <v>1560849331</v>
      </c>
      <c r="F183" s="294" t="s">
        <v>118</v>
      </c>
      <c r="H183" s="294"/>
      <c r="I183" s="294"/>
      <c r="J183" s="294"/>
      <c r="K183" s="97" t="s">
        <v>2080</v>
      </c>
      <c r="L183" s="294"/>
      <c r="M183" s="294"/>
      <c r="N183" s="97"/>
      <c r="O183" s="294"/>
    </row>
    <row r="184" spans="1:15" s="341" customFormat="1" ht="147" x14ac:dyDescent="0.5">
      <c r="A184" s="60">
        <v>14</v>
      </c>
      <c r="B184" s="255" t="s">
        <v>2081</v>
      </c>
      <c r="C184" s="378">
        <v>885649700</v>
      </c>
      <c r="D184" s="294" t="s">
        <v>2082</v>
      </c>
      <c r="F184" s="294" t="s">
        <v>2083</v>
      </c>
      <c r="H184" s="294"/>
      <c r="I184" s="294"/>
      <c r="J184" s="294"/>
      <c r="K184" s="97" t="s">
        <v>2084</v>
      </c>
      <c r="L184" s="294"/>
      <c r="M184" s="294"/>
      <c r="N184" s="97"/>
      <c r="O184" s="294"/>
    </row>
    <row r="185" spans="1:15" s="341" customFormat="1" ht="42" x14ac:dyDescent="0.5">
      <c r="A185" s="60">
        <v>8</v>
      </c>
      <c r="B185" s="255" t="s">
        <v>2085</v>
      </c>
      <c r="C185" s="375">
        <v>210704520</v>
      </c>
      <c r="F185" s="294" t="s">
        <v>1073</v>
      </c>
      <c r="G185" s="341" t="s">
        <v>1074</v>
      </c>
      <c r="H185" s="294"/>
      <c r="I185" s="294"/>
      <c r="J185" s="294"/>
      <c r="K185" s="97" t="s">
        <v>2086</v>
      </c>
      <c r="L185" s="294"/>
      <c r="M185" s="294"/>
      <c r="N185" s="97"/>
      <c r="O185" s="294"/>
    </row>
    <row r="186" spans="1:15" s="287" customFormat="1" ht="42" x14ac:dyDescent="0.5">
      <c r="A186" s="60">
        <f>Loss!A185+1</f>
        <v>39</v>
      </c>
      <c r="B186" s="255" t="s">
        <v>2087</v>
      </c>
      <c r="C186" s="378">
        <v>72048024</v>
      </c>
      <c r="D186" s="341"/>
      <c r="E186" s="341"/>
      <c r="F186" s="294" t="s">
        <v>2088</v>
      </c>
      <c r="G186" s="341"/>
      <c r="H186" s="294"/>
      <c r="I186" s="294"/>
      <c r="J186" s="294"/>
      <c r="K186" s="97" t="s">
        <v>2089</v>
      </c>
      <c r="L186" s="294"/>
      <c r="M186" s="294"/>
      <c r="N186" s="97"/>
      <c r="O186" s="294"/>
    </row>
    <row r="187" spans="1:15" s="287" customFormat="1" ht="63" x14ac:dyDescent="0.5">
      <c r="A187" s="60">
        <v>6</v>
      </c>
      <c r="B187" s="255" t="s">
        <v>2090</v>
      </c>
      <c r="C187" s="375">
        <v>40689900</v>
      </c>
      <c r="D187" s="341"/>
      <c r="E187" s="341"/>
      <c r="F187" s="61" t="s">
        <v>111</v>
      </c>
      <c r="G187" s="341"/>
      <c r="H187" s="294"/>
      <c r="I187" s="294"/>
      <c r="J187" s="294"/>
      <c r="K187" s="97" t="s">
        <v>2091</v>
      </c>
      <c r="L187" s="294"/>
      <c r="M187" s="294"/>
      <c r="N187" s="97"/>
      <c r="O187" s="294"/>
    </row>
    <row r="188" spans="1:15" s="341" customFormat="1" ht="147" x14ac:dyDescent="0.5">
      <c r="A188" s="60">
        <v>7</v>
      </c>
      <c r="B188" s="255" t="s">
        <v>2092</v>
      </c>
      <c r="C188" s="378">
        <v>512551200</v>
      </c>
      <c r="F188" s="61" t="s">
        <v>1145</v>
      </c>
      <c r="H188" s="294"/>
      <c r="I188" s="294"/>
      <c r="J188" s="294"/>
      <c r="K188" s="97" t="s">
        <v>2093</v>
      </c>
      <c r="L188" s="294"/>
      <c r="M188" s="294"/>
      <c r="N188" s="97"/>
      <c r="O188" s="294"/>
    </row>
    <row r="189" spans="1:15" s="341" customFormat="1" ht="42" x14ac:dyDescent="0.5">
      <c r="A189" s="60">
        <v>34</v>
      </c>
      <c r="B189" s="255" t="s">
        <v>2094</v>
      </c>
      <c r="C189" s="362">
        <v>70064400</v>
      </c>
      <c r="F189" s="294" t="s">
        <v>2095</v>
      </c>
      <c r="H189" s="294"/>
      <c r="I189" s="294"/>
      <c r="J189" s="294"/>
      <c r="K189" s="97" t="s">
        <v>2096</v>
      </c>
      <c r="L189" s="294"/>
      <c r="M189" s="294"/>
      <c r="N189" s="97"/>
      <c r="O189" s="294"/>
    </row>
    <row r="190" spans="1:15" s="341" customFormat="1" ht="42" x14ac:dyDescent="0.5">
      <c r="A190" s="60">
        <v>35</v>
      </c>
      <c r="B190" s="255" t="s">
        <v>2097</v>
      </c>
      <c r="C190" s="362">
        <v>51353200</v>
      </c>
      <c r="F190" s="294" t="s">
        <v>2095</v>
      </c>
      <c r="H190" s="294"/>
      <c r="I190" s="294"/>
      <c r="J190" s="294"/>
      <c r="K190" s="97" t="s">
        <v>2098</v>
      </c>
      <c r="L190" s="294"/>
      <c r="M190" s="294"/>
      <c r="N190" s="97"/>
      <c r="O190" s="294"/>
    </row>
    <row r="191" spans="1:15" s="287" customFormat="1" ht="42" x14ac:dyDescent="0.5">
      <c r="A191" s="60">
        <v>36</v>
      </c>
      <c r="B191" s="255" t="s">
        <v>2099</v>
      </c>
      <c r="C191" s="378">
        <v>13008000</v>
      </c>
      <c r="D191" s="341"/>
      <c r="E191" s="341"/>
      <c r="F191" s="294" t="s">
        <v>2100</v>
      </c>
      <c r="G191" s="341"/>
      <c r="H191" s="294"/>
      <c r="I191" s="294"/>
      <c r="J191" s="294"/>
      <c r="K191" s="97" t="s">
        <v>2101</v>
      </c>
      <c r="L191" s="294"/>
      <c r="M191" s="294"/>
      <c r="N191" s="97"/>
      <c r="O191" s="294"/>
    </row>
    <row r="192" spans="1:15" s="341" customFormat="1" ht="84" x14ac:dyDescent="0.5">
      <c r="A192" s="60">
        <v>8</v>
      </c>
      <c r="B192" s="255" t="s">
        <v>2102</v>
      </c>
      <c r="C192" s="378">
        <v>277236218</v>
      </c>
      <c r="F192" s="294"/>
      <c r="H192" s="294"/>
      <c r="I192" s="294"/>
      <c r="J192" s="294"/>
      <c r="K192" s="97" t="s">
        <v>2103</v>
      </c>
      <c r="L192" s="294"/>
      <c r="M192" s="294"/>
      <c r="N192" s="97"/>
      <c r="O192" s="294"/>
    </row>
    <row r="193" spans="1:15" s="287" customFormat="1" ht="42" x14ac:dyDescent="0.5">
      <c r="A193" s="60">
        <v>45</v>
      </c>
      <c r="B193" s="255" t="s">
        <v>2104</v>
      </c>
      <c r="C193" s="378">
        <v>228980700</v>
      </c>
      <c r="D193" s="341"/>
      <c r="E193" s="341"/>
      <c r="F193" s="294" t="s">
        <v>2105</v>
      </c>
      <c r="G193" s="341"/>
      <c r="H193" s="294"/>
      <c r="I193" s="294"/>
      <c r="J193" s="294"/>
      <c r="K193" s="97" t="s">
        <v>2106</v>
      </c>
      <c r="L193" s="294"/>
      <c r="M193" s="294"/>
      <c r="N193" s="97"/>
      <c r="O193" s="294"/>
    </row>
    <row r="194" spans="1:15" s="287" customFormat="1" ht="63" x14ac:dyDescent="0.5">
      <c r="A194" s="60">
        <v>15</v>
      </c>
      <c r="B194" s="255" t="s">
        <v>319</v>
      </c>
      <c r="C194" s="362">
        <v>421190141</v>
      </c>
      <c r="D194" s="341"/>
      <c r="E194" s="341"/>
      <c r="F194" s="294" t="s">
        <v>1277</v>
      </c>
      <c r="G194" s="341"/>
      <c r="H194" s="294"/>
      <c r="I194" s="294"/>
      <c r="J194" s="294"/>
      <c r="K194" s="97" t="s">
        <v>2107</v>
      </c>
      <c r="L194" s="294"/>
      <c r="M194" s="294"/>
      <c r="N194" s="97"/>
      <c r="O194" s="294"/>
    </row>
    <row r="195" spans="1:15" s="341" customFormat="1" ht="63" x14ac:dyDescent="0.5">
      <c r="A195" s="60">
        <v>7</v>
      </c>
      <c r="B195" s="255" t="s">
        <v>104</v>
      </c>
      <c r="C195" s="378">
        <v>140672500</v>
      </c>
      <c r="F195" s="294" t="s">
        <v>105</v>
      </c>
      <c r="H195" s="294"/>
      <c r="I195" s="294"/>
      <c r="J195" s="294"/>
      <c r="K195" s="97" t="s">
        <v>106</v>
      </c>
      <c r="L195" s="294"/>
      <c r="M195" s="294"/>
      <c r="N195" s="97"/>
      <c r="O195" s="294"/>
    </row>
    <row r="196" spans="1:15" s="341" customFormat="1" ht="63" x14ac:dyDescent="0.5">
      <c r="A196" s="60">
        <v>13</v>
      </c>
      <c r="B196" s="255" t="s">
        <v>119</v>
      </c>
      <c r="C196" s="362">
        <v>93777748</v>
      </c>
      <c r="F196" s="294" t="s">
        <v>118</v>
      </c>
      <c r="H196" s="294"/>
      <c r="I196" s="294"/>
      <c r="J196" s="294"/>
      <c r="K196" s="97" t="s">
        <v>2251</v>
      </c>
      <c r="L196" s="294"/>
      <c r="M196" s="294"/>
      <c r="N196" s="97"/>
      <c r="O196" s="294"/>
    </row>
    <row r="197" spans="1:15" s="341" customFormat="1" ht="21" x14ac:dyDescent="0.5">
      <c r="A197" s="60">
        <v>74</v>
      </c>
      <c r="B197" s="255" t="s">
        <v>2244</v>
      </c>
      <c r="C197" s="378">
        <v>206261538</v>
      </c>
      <c r="F197" s="294" t="s">
        <v>2245</v>
      </c>
      <c r="H197" s="294"/>
      <c r="I197" s="294"/>
      <c r="J197" s="294"/>
      <c r="K197" s="97" t="s">
        <v>2287</v>
      </c>
      <c r="L197" s="294"/>
      <c r="M197" s="294"/>
      <c r="N197" s="97"/>
      <c r="O197" s="294"/>
    </row>
  </sheetData>
  <mergeCells count="1">
    <mergeCell ref="A1:J2"/>
  </mergeCells>
  <conditionalFormatting sqref="A126">
    <cfRule type="expression" dxfId="5" priority="5">
      <formula>$A126&lt;&gt;""</formula>
    </cfRule>
  </conditionalFormatting>
  <conditionalFormatting sqref="A186:I186">
    <cfRule type="expression" dxfId="4" priority="3">
      <formula>$A186&lt;&gt;""</formula>
    </cfRule>
  </conditionalFormatting>
  <conditionalFormatting sqref="A197:I197">
    <cfRule type="expression" dxfId="3" priority="1">
      <formula>$A197&lt;&gt;""</formula>
    </cfRule>
  </conditionalFormatting>
  <conditionalFormatting sqref="A4:J59 G60:J62 A60:E65 G63:H65 I63:J69 B66:H68 A66:A69 D69:F69 A70:N74 A75:A80 D75:E80 E81:E83 A82:A86 D84:D98 F86:F88 I87 A89 A92 F92 A94:A95 A97 A99:N99 A100:A104 D100:D104 F104 I104 M104 A105:J105 A106:A108 D107 A111:A113 D112 A115 D115:E115 A117:A118 D118:E118 A168:J185 A187:J192 A194:J195 A198:J1048576">
    <cfRule type="expression" dxfId="2" priority="9">
      <formula>$A4&lt;&gt;""</formula>
    </cfRule>
  </conditionalFormatting>
  <conditionalFormatting sqref="B193:I193">
    <cfRule type="expression" dxfId="1" priority="2">
      <formula>$A193&lt;&gt;""</formula>
    </cfRule>
  </conditionalFormatting>
  <conditionalFormatting sqref="D165">
    <cfRule type="expression" dxfId="0" priority="4">
      <formula>$A165&lt;&gt;""</formula>
    </cfRule>
  </conditionalFormatting>
  <pageMargins left="0.25" right="0.25" top="0.75" bottom="0.75" header="0.3" footer="0.3"/>
  <pageSetup scale="4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E82"/>
  <sheetViews>
    <sheetView workbookViewId="0">
      <selection activeCell="D64" sqref="D64"/>
    </sheetView>
  </sheetViews>
  <sheetFormatPr defaultRowHeight="14.5" x14ac:dyDescent="0.35"/>
  <cols>
    <col min="2" max="2" width="45.81640625" customWidth="1"/>
    <col min="3" max="3" width="12.1796875" bestFit="1" customWidth="1"/>
    <col min="4" max="4" width="35.1796875" customWidth="1"/>
    <col min="5" max="5" width="12.1796875" bestFit="1" customWidth="1"/>
  </cols>
  <sheetData>
    <row r="2" spans="1:5" ht="15.5" x14ac:dyDescent="0.35">
      <c r="A2" s="82" t="s">
        <v>1</v>
      </c>
      <c r="B2" s="82" t="s">
        <v>2108</v>
      </c>
      <c r="C2" s="82" t="s">
        <v>13</v>
      </c>
      <c r="D2" s="86"/>
      <c r="E2" s="86"/>
    </row>
    <row r="3" spans="1:5" x14ac:dyDescent="0.35">
      <c r="A3" s="4">
        <v>1</v>
      </c>
      <c r="B3" s="83" t="s">
        <v>485</v>
      </c>
      <c r="C3" s="12" t="s">
        <v>461</v>
      </c>
      <c r="D3" s="84"/>
      <c r="E3" s="87"/>
    </row>
    <row r="4" spans="1:5" x14ac:dyDescent="0.35">
      <c r="A4" s="4">
        <v>2</v>
      </c>
      <c r="B4" s="83" t="s">
        <v>494</v>
      </c>
      <c r="C4" s="12" t="s">
        <v>461</v>
      </c>
      <c r="D4" s="84"/>
      <c r="E4" s="87"/>
    </row>
    <row r="5" spans="1:5" x14ac:dyDescent="0.35">
      <c r="A5" s="4">
        <v>3</v>
      </c>
      <c r="B5" s="83" t="s">
        <v>1662</v>
      </c>
      <c r="C5" s="12" t="s">
        <v>543</v>
      </c>
      <c r="D5" s="84"/>
      <c r="E5" s="87"/>
    </row>
    <row r="6" spans="1:5" x14ac:dyDescent="0.35">
      <c r="A6" s="4">
        <v>4</v>
      </c>
      <c r="B6" s="77" t="s">
        <v>1682</v>
      </c>
      <c r="C6" s="12" t="s">
        <v>543</v>
      </c>
      <c r="D6" s="84"/>
      <c r="E6" s="87"/>
    </row>
    <row r="7" spans="1:5" x14ac:dyDescent="0.35">
      <c r="A7" s="4">
        <v>5</v>
      </c>
      <c r="B7" s="76" t="s">
        <v>500</v>
      </c>
      <c r="C7" s="12" t="s">
        <v>461</v>
      </c>
      <c r="D7" s="84"/>
      <c r="E7" s="87"/>
    </row>
    <row r="8" spans="1:5" x14ac:dyDescent="0.35">
      <c r="A8" s="4">
        <v>6</v>
      </c>
      <c r="B8" s="76" t="s">
        <v>506</v>
      </c>
      <c r="C8" s="12" t="s">
        <v>461</v>
      </c>
      <c r="D8" s="84"/>
      <c r="E8" s="87"/>
    </row>
    <row r="9" spans="1:5" x14ac:dyDescent="0.35">
      <c r="A9" s="4">
        <v>7</v>
      </c>
      <c r="B9" s="76" t="s">
        <v>1693</v>
      </c>
      <c r="C9" s="12" t="s">
        <v>461</v>
      </c>
      <c r="D9" s="84"/>
      <c r="E9" s="87"/>
    </row>
    <row r="10" spans="1:5" x14ac:dyDescent="0.35">
      <c r="A10" s="4">
        <v>8</v>
      </c>
      <c r="B10" s="76" t="s">
        <v>454</v>
      </c>
      <c r="C10" s="12" t="s">
        <v>461</v>
      </c>
      <c r="D10" s="84"/>
      <c r="E10" s="87"/>
    </row>
    <row r="11" spans="1:5" x14ac:dyDescent="0.35">
      <c r="A11" s="4">
        <v>9</v>
      </c>
      <c r="B11" s="76" t="s">
        <v>463</v>
      </c>
      <c r="C11" s="12" t="s">
        <v>461</v>
      </c>
      <c r="D11" s="84"/>
      <c r="E11" s="87"/>
    </row>
    <row r="12" spans="1:5" x14ac:dyDescent="0.35">
      <c r="A12" s="4">
        <v>10</v>
      </c>
      <c r="B12" s="77" t="s">
        <v>647</v>
      </c>
      <c r="C12" s="12" t="s">
        <v>543</v>
      </c>
      <c r="D12" s="84"/>
      <c r="E12" s="87"/>
    </row>
    <row r="13" spans="1:5" x14ac:dyDescent="0.35">
      <c r="A13" s="4">
        <v>11</v>
      </c>
      <c r="B13" s="77" t="s">
        <v>1670</v>
      </c>
      <c r="C13" s="12" t="s">
        <v>543</v>
      </c>
      <c r="D13" s="84"/>
      <c r="E13" s="87"/>
    </row>
    <row r="14" spans="1:5" x14ac:dyDescent="0.35">
      <c r="A14" s="4">
        <v>12</v>
      </c>
      <c r="B14" s="78" t="s">
        <v>1665</v>
      </c>
      <c r="C14" s="12" t="s">
        <v>543</v>
      </c>
      <c r="D14" s="84"/>
      <c r="E14" s="87"/>
    </row>
    <row r="15" spans="1:5" ht="15" customHeight="1" x14ac:dyDescent="0.35">
      <c r="A15" s="4">
        <v>13</v>
      </c>
      <c r="B15" s="78" t="s">
        <v>1686</v>
      </c>
      <c r="C15" s="23" t="s">
        <v>543</v>
      </c>
      <c r="D15" s="84"/>
      <c r="E15" s="87"/>
    </row>
    <row r="16" spans="1:5" x14ac:dyDescent="0.35">
      <c r="A16" s="4">
        <v>14</v>
      </c>
      <c r="B16" s="76" t="s">
        <v>519</v>
      </c>
      <c r="C16" s="12" t="s">
        <v>461</v>
      </c>
      <c r="D16" s="84"/>
      <c r="E16" s="87"/>
    </row>
    <row r="17" spans="1:5" x14ac:dyDescent="0.35">
      <c r="A17" s="4">
        <v>15</v>
      </c>
      <c r="B17" s="78" t="s">
        <v>529</v>
      </c>
      <c r="C17" s="12" t="s">
        <v>461</v>
      </c>
      <c r="D17" s="85"/>
      <c r="E17" s="87"/>
    </row>
    <row r="18" spans="1:5" x14ac:dyDescent="0.35">
      <c r="A18" s="4">
        <v>16</v>
      </c>
      <c r="B18" s="76" t="s">
        <v>1673</v>
      </c>
      <c r="C18" s="12" t="s">
        <v>543</v>
      </c>
      <c r="D18" s="84"/>
      <c r="E18" s="87"/>
    </row>
    <row r="19" spans="1:5" x14ac:dyDescent="0.35">
      <c r="A19" s="4">
        <v>17</v>
      </c>
      <c r="B19" s="78" t="s">
        <v>2109</v>
      </c>
      <c r="C19" s="12" t="s">
        <v>543</v>
      </c>
      <c r="D19" s="84"/>
      <c r="E19" s="87"/>
    </row>
    <row r="20" spans="1:5" x14ac:dyDescent="0.35">
      <c r="A20" s="4">
        <v>18</v>
      </c>
      <c r="B20" s="76" t="s">
        <v>1720</v>
      </c>
      <c r="C20" s="12" t="s">
        <v>461</v>
      </c>
      <c r="D20" s="84"/>
      <c r="E20" s="87"/>
    </row>
    <row r="21" spans="1:5" x14ac:dyDescent="0.35">
      <c r="A21" s="4">
        <v>19</v>
      </c>
      <c r="B21" s="78" t="s">
        <v>603</v>
      </c>
      <c r="C21" s="23" t="s">
        <v>543</v>
      </c>
      <c r="D21" s="84"/>
      <c r="E21" s="87"/>
    </row>
    <row r="22" spans="1:5" x14ac:dyDescent="0.35">
      <c r="A22" s="4">
        <v>20</v>
      </c>
      <c r="B22" s="76" t="s">
        <v>2110</v>
      </c>
      <c r="C22" s="23" t="s">
        <v>538</v>
      </c>
      <c r="D22" s="84"/>
      <c r="E22" s="87"/>
    </row>
    <row r="23" spans="1:5" x14ac:dyDescent="0.35">
      <c r="A23" s="4">
        <v>21</v>
      </c>
      <c r="B23" s="79" t="s">
        <v>1675</v>
      </c>
      <c r="C23" s="23" t="s">
        <v>543</v>
      </c>
      <c r="D23" s="84"/>
      <c r="E23" s="87"/>
    </row>
    <row r="24" spans="1:5" ht="18" customHeight="1" x14ac:dyDescent="0.35">
      <c r="A24" s="4">
        <v>22</v>
      </c>
      <c r="B24" s="76" t="s">
        <v>1723</v>
      </c>
      <c r="C24" s="23" t="s">
        <v>461</v>
      </c>
      <c r="D24" s="79"/>
      <c r="E24" s="78"/>
    </row>
    <row r="25" spans="1:5" ht="20.25" customHeight="1" x14ac:dyDescent="0.35">
      <c r="A25" s="4">
        <v>23</v>
      </c>
      <c r="B25" s="76" t="s">
        <v>608</v>
      </c>
      <c r="C25" s="23" t="s">
        <v>587</v>
      </c>
      <c r="D25" s="79"/>
      <c r="E25" s="78"/>
    </row>
    <row r="26" spans="1:5" x14ac:dyDescent="0.35">
      <c r="A26" s="4">
        <v>24</v>
      </c>
      <c r="B26" s="80" t="s">
        <v>1667</v>
      </c>
      <c r="C26" s="23" t="s">
        <v>587</v>
      </c>
      <c r="D26" s="79"/>
      <c r="E26" s="78"/>
    </row>
    <row r="27" spans="1:5" x14ac:dyDescent="0.35">
      <c r="A27" s="4">
        <v>25</v>
      </c>
      <c r="B27" s="81" t="s">
        <v>1695</v>
      </c>
      <c r="C27" s="23" t="s">
        <v>543</v>
      </c>
      <c r="D27" s="79"/>
      <c r="E27" s="78"/>
    </row>
    <row r="28" spans="1:5" x14ac:dyDescent="0.35">
      <c r="A28" s="4">
        <v>26</v>
      </c>
      <c r="B28" s="77" t="s">
        <v>644</v>
      </c>
      <c r="C28" s="23" t="s">
        <v>543</v>
      </c>
      <c r="D28" s="79"/>
      <c r="E28" s="78"/>
    </row>
    <row r="29" spans="1:5" ht="15.5" x14ac:dyDescent="0.35">
      <c r="A29" s="82" t="s">
        <v>1</v>
      </c>
      <c r="B29" s="86" t="s">
        <v>2111</v>
      </c>
      <c r="C29" s="86" t="s">
        <v>13</v>
      </c>
      <c r="D29" s="79"/>
      <c r="E29" s="78"/>
    </row>
    <row r="30" spans="1:5" x14ac:dyDescent="0.35">
      <c r="A30" s="4">
        <v>1</v>
      </c>
      <c r="B30" s="84" t="s">
        <v>2112</v>
      </c>
      <c r="C30" s="37" t="s">
        <v>1628</v>
      </c>
      <c r="D30" s="79"/>
      <c r="E30" s="78"/>
    </row>
    <row r="31" spans="1:5" x14ac:dyDescent="0.35">
      <c r="A31" s="4">
        <v>2</v>
      </c>
      <c r="B31" s="84" t="s">
        <v>2113</v>
      </c>
      <c r="C31" s="37" t="s">
        <v>543</v>
      </c>
      <c r="D31" s="79"/>
      <c r="E31" s="78"/>
    </row>
    <row r="32" spans="1:5" x14ac:dyDescent="0.35">
      <c r="A32" s="4">
        <v>3</v>
      </c>
      <c r="B32" s="84" t="s">
        <v>2114</v>
      </c>
      <c r="C32" s="37" t="s">
        <v>587</v>
      </c>
      <c r="D32" s="79"/>
      <c r="E32" s="78"/>
    </row>
    <row r="33" spans="1:5" x14ac:dyDescent="0.35">
      <c r="A33" s="4">
        <v>4</v>
      </c>
      <c r="B33" s="84" t="s">
        <v>2115</v>
      </c>
      <c r="C33" s="37" t="s">
        <v>587</v>
      </c>
      <c r="D33" s="79"/>
      <c r="E33" s="78"/>
    </row>
    <row r="34" spans="1:5" x14ac:dyDescent="0.35">
      <c r="A34" s="4">
        <v>5</v>
      </c>
      <c r="B34" s="84" t="s">
        <v>2116</v>
      </c>
      <c r="C34" s="37" t="s">
        <v>543</v>
      </c>
      <c r="D34" s="79"/>
      <c r="E34" s="78"/>
    </row>
    <row r="35" spans="1:5" x14ac:dyDescent="0.35">
      <c r="A35" s="4">
        <v>6</v>
      </c>
      <c r="B35" s="84" t="s">
        <v>2117</v>
      </c>
      <c r="C35" s="37" t="s">
        <v>543</v>
      </c>
      <c r="D35" s="79"/>
      <c r="E35" s="78"/>
    </row>
    <row r="36" spans="1:5" x14ac:dyDescent="0.35">
      <c r="A36" s="4">
        <v>7</v>
      </c>
      <c r="B36" s="84" t="s">
        <v>2118</v>
      </c>
      <c r="C36" s="37" t="s">
        <v>543</v>
      </c>
      <c r="D36" s="79"/>
      <c r="E36" s="78"/>
    </row>
    <row r="37" spans="1:5" x14ac:dyDescent="0.35">
      <c r="A37" s="4">
        <v>8</v>
      </c>
      <c r="B37" s="84" t="s">
        <v>2119</v>
      </c>
      <c r="C37" s="37" t="s">
        <v>2120</v>
      </c>
    </row>
    <row r="38" spans="1:5" x14ac:dyDescent="0.35">
      <c r="A38" s="4">
        <v>9</v>
      </c>
      <c r="B38" s="84" t="s">
        <v>2121</v>
      </c>
      <c r="C38" s="37" t="s">
        <v>543</v>
      </c>
    </row>
    <row r="39" spans="1:5" x14ac:dyDescent="0.35">
      <c r="A39" s="4">
        <v>10</v>
      </c>
      <c r="B39" s="84" t="s">
        <v>2122</v>
      </c>
      <c r="C39" s="37" t="s">
        <v>2123</v>
      </c>
    </row>
    <row r="40" spans="1:5" x14ac:dyDescent="0.35">
      <c r="A40" s="4">
        <v>11</v>
      </c>
      <c r="B40" s="84" t="s">
        <v>2124</v>
      </c>
      <c r="C40" s="37" t="s">
        <v>461</v>
      </c>
    </row>
    <row r="41" spans="1:5" x14ac:dyDescent="0.35">
      <c r="A41" s="4">
        <v>12</v>
      </c>
      <c r="B41" s="84" t="s">
        <v>2125</v>
      </c>
      <c r="C41" s="37" t="s">
        <v>633</v>
      </c>
    </row>
    <row r="42" spans="1:5" x14ac:dyDescent="0.35">
      <c r="A42" s="4">
        <v>13</v>
      </c>
      <c r="B42" s="84" t="s">
        <v>631</v>
      </c>
      <c r="C42" s="37" t="s">
        <v>633</v>
      </c>
    </row>
    <row r="43" spans="1:5" x14ac:dyDescent="0.35">
      <c r="A43" s="4">
        <v>14</v>
      </c>
      <c r="B43" s="84" t="s">
        <v>619</v>
      </c>
      <c r="C43" s="37" t="s">
        <v>2126</v>
      </c>
    </row>
    <row r="44" spans="1:5" x14ac:dyDescent="0.35">
      <c r="A44" s="4">
        <v>15</v>
      </c>
      <c r="B44" s="85" t="s">
        <v>2127</v>
      </c>
      <c r="C44" s="37" t="s">
        <v>633</v>
      </c>
    </row>
    <row r="45" spans="1:5" x14ac:dyDescent="0.35">
      <c r="A45" s="4">
        <v>16</v>
      </c>
      <c r="B45" s="84" t="s">
        <v>2128</v>
      </c>
      <c r="C45" s="37" t="s">
        <v>587</v>
      </c>
    </row>
    <row r="46" spans="1:5" x14ac:dyDescent="0.35">
      <c r="A46" s="4">
        <v>17</v>
      </c>
      <c r="B46" s="84" t="s">
        <v>2129</v>
      </c>
      <c r="C46" s="37" t="s">
        <v>461</v>
      </c>
    </row>
    <row r="47" spans="1:5" x14ac:dyDescent="0.35">
      <c r="A47" s="4">
        <v>18</v>
      </c>
      <c r="B47" s="84" t="s">
        <v>2130</v>
      </c>
      <c r="C47" s="37" t="s">
        <v>461</v>
      </c>
    </row>
    <row r="48" spans="1:5" x14ac:dyDescent="0.35">
      <c r="A48" s="4">
        <v>19</v>
      </c>
      <c r="B48" s="84" t="s">
        <v>2131</v>
      </c>
      <c r="C48" s="37" t="s">
        <v>461</v>
      </c>
    </row>
    <row r="49" spans="1:3" x14ac:dyDescent="0.35">
      <c r="A49" s="4">
        <v>20</v>
      </c>
      <c r="B49" s="84" t="s">
        <v>2129</v>
      </c>
      <c r="C49" s="37" t="s">
        <v>461</v>
      </c>
    </row>
    <row r="50" spans="1:3" x14ac:dyDescent="0.35">
      <c r="A50" s="4">
        <v>21</v>
      </c>
      <c r="B50" s="84" t="s">
        <v>2132</v>
      </c>
      <c r="C50" s="37" t="s">
        <v>543</v>
      </c>
    </row>
    <row r="51" spans="1:3" x14ac:dyDescent="0.35">
      <c r="A51" s="4">
        <v>22</v>
      </c>
      <c r="B51" s="79" t="s">
        <v>2133</v>
      </c>
      <c r="C51" s="24" t="s">
        <v>587</v>
      </c>
    </row>
    <row r="52" spans="1:3" x14ac:dyDescent="0.35">
      <c r="A52" s="4">
        <v>23</v>
      </c>
      <c r="B52" s="79" t="s">
        <v>2134</v>
      </c>
      <c r="C52" s="24" t="s">
        <v>587</v>
      </c>
    </row>
    <row r="53" spans="1:3" x14ac:dyDescent="0.35">
      <c r="A53" s="4">
        <v>24</v>
      </c>
      <c r="B53" s="79" t="s">
        <v>2135</v>
      </c>
      <c r="C53" s="24" t="s">
        <v>461</v>
      </c>
    </row>
    <row r="54" spans="1:3" x14ac:dyDescent="0.35">
      <c r="A54" s="4">
        <v>25</v>
      </c>
      <c r="B54" s="79" t="s">
        <v>2135</v>
      </c>
      <c r="C54" s="24" t="s">
        <v>461</v>
      </c>
    </row>
    <row r="55" spans="1:3" ht="15" customHeight="1" x14ac:dyDescent="0.35">
      <c r="A55" s="4">
        <v>26</v>
      </c>
      <c r="B55" s="79" t="s">
        <v>2136</v>
      </c>
      <c r="C55" s="24" t="s">
        <v>587</v>
      </c>
    </row>
    <row r="56" spans="1:3" ht="15" customHeight="1" x14ac:dyDescent="0.35">
      <c r="A56" s="45">
        <v>27</v>
      </c>
      <c r="B56" s="79" t="s">
        <v>2137</v>
      </c>
      <c r="C56" s="24" t="s">
        <v>587</v>
      </c>
    </row>
    <row r="57" spans="1:3" x14ac:dyDescent="0.35">
      <c r="A57" s="45">
        <v>28</v>
      </c>
      <c r="B57" s="79" t="s">
        <v>1117</v>
      </c>
      <c r="C57" s="24" t="s">
        <v>587</v>
      </c>
    </row>
    <row r="58" spans="1:3" x14ac:dyDescent="0.35">
      <c r="A58" s="45">
        <v>29</v>
      </c>
      <c r="B58" s="79" t="s">
        <v>2138</v>
      </c>
      <c r="C58" s="24" t="s">
        <v>1573</v>
      </c>
    </row>
    <row r="59" spans="1:3" x14ac:dyDescent="0.35">
      <c r="A59" s="45">
        <v>30</v>
      </c>
      <c r="B59" s="79" t="s">
        <v>2139</v>
      </c>
      <c r="C59" s="24" t="s">
        <v>2120</v>
      </c>
    </row>
    <row r="60" spans="1:3" x14ac:dyDescent="0.35">
      <c r="A60" s="45">
        <v>31</v>
      </c>
      <c r="B60" s="79" t="s">
        <v>2140</v>
      </c>
      <c r="C60" s="24" t="s">
        <v>2141</v>
      </c>
    </row>
    <row r="61" spans="1:3" x14ac:dyDescent="0.35">
      <c r="A61" s="45">
        <v>32</v>
      </c>
      <c r="B61" s="79" t="s">
        <v>2142</v>
      </c>
      <c r="C61" s="24" t="s">
        <v>461</v>
      </c>
    </row>
    <row r="62" spans="1:3" x14ac:dyDescent="0.35">
      <c r="A62" s="45">
        <v>33</v>
      </c>
      <c r="B62" s="79" t="s">
        <v>2143</v>
      </c>
      <c r="C62" s="24" t="s">
        <v>543</v>
      </c>
    </row>
    <row r="63" spans="1:3" x14ac:dyDescent="0.35">
      <c r="A63" s="45">
        <v>34</v>
      </c>
      <c r="B63" s="79" t="s">
        <v>2144</v>
      </c>
      <c r="C63" s="24" t="s">
        <v>2120</v>
      </c>
    </row>
    <row r="64" spans="1:3" ht="15.5" x14ac:dyDescent="0.35">
      <c r="A64" s="82" t="s">
        <v>1</v>
      </c>
      <c r="B64" s="86" t="s">
        <v>2145</v>
      </c>
      <c r="C64" s="86" t="s">
        <v>13</v>
      </c>
    </row>
    <row r="65" spans="1:3" x14ac:dyDescent="0.35">
      <c r="A65" s="88">
        <v>1</v>
      </c>
      <c r="B65" s="50" t="s">
        <v>2146</v>
      </c>
      <c r="C65" s="33" t="s">
        <v>2147</v>
      </c>
    </row>
    <row r="66" spans="1:3" x14ac:dyDescent="0.35">
      <c r="A66" s="88">
        <v>2</v>
      </c>
      <c r="B66" s="42" t="s">
        <v>2148</v>
      </c>
      <c r="C66" s="34" t="s">
        <v>2149</v>
      </c>
    </row>
    <row r="67" spans="1:3" x14ac:dyDescent="0.35">
      <c r="A67" s="88">
        <v>3</v>
      </c>
      <c r="B67" s="42" t="s">
        <v>2150</v>
      </c>
      <c r="C67" s="34" t="s">
        <v>461</v>
      </c>
    </row>
    <row r="68" spans="1:3" x14ac:dyDescent="0.35">
      <c r="A68" s="88">
        <v>4</v>
      </c>
      <c r="B68" s="42" t="s">
        <v>2151</v>
      </c>
      <c r="C68" s="34" t="s">
        <v>1628</v>
      </c>
    </row>
    <row r="69" spans="1:3" x14ac:dyDescent="0.35">
      <c r="A69" s="88">
        <v>5</v>
      </c>
      <c r="B69" s="68" t="s">
        <v>2152</v>
      </c>
      <c r="C69" s="34" t="s">
        <v>1628</v>
      </c>
    </row>
    <row r="70" spans="1:3" x14ac:dyDescent="0.35">
      <c r="C70" s="3"/>
    </row>
    <row r="71" spans="1:3" x14ac:dyDescent="0.35">
      <c r="C71" s="3"/>
    </row>
    <row r="72" spans="1:3" x14ac:dyDescent="0.35">
      <c r="C72" s="3"/>
    </row>
    <row r="73" spans="1:3" x14ac:dyDescent="0.35">
      <c r="C73" s="3"/>
    </row>
    <row r="74" spans="1:3" x14ac:dyDescent="0.35">
      <c r="C74" s="3"/>
    </row>
    <row r="75" spans="1:3" x14ac:dyDescent="0.35">
      <c r="C75" s="3"/>
    </row>
    <row r="76" spans="1:3" x14ac:dyDescent="0.35">
      <c r="C76" s="3"/>
    </row>
    <row r="77" spans="1:3" x14ac:dyDescent="0.35">
      <c r="C77" s="3"/>
    </row>
    <row r="78" spans="1:3" x14ac:dyDescent="0.35">
      <c r="C78" s="3"/>
    </row>
    <row r="79" spans="1:3" x14ac:dyDescent="0.35">
      <c r="C79" s="3"/>
    </row>
    <row r="80" spans="1:3" x14ac:dyDescent="0.35">
      <c r="C80" s="3"/>
    </row>
    <row r="81" spans="3:3" x14ac:dyDescent="0.35">
      <c r="C81" s="3"/>
    </row>
    <row r="82" spans="3:3" x14ac:dyDescent="0.35">
      <c r="C82" s="3"/>
    </row>
  </sheetData>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0"/>
  <sheetViews>
    <sheetView topLeftCell="B1" workbookViewId="0">
      <selection activeCell="G7" sqref="G7"/>
    </sheetView>
  </sheetViews>
  <sheetFormatPr defaultRowHeight="14.5" x14ac:dyDescent="0.35"/>
  <cols>
    <col min="1" max="1" width="4.54296875" bestFit="1" customWidth="1"/>
    <col min="2" max="2" width="37.1796875" bestFit="1" customWidth="1"/>
    <col min="3" max="3" width="12.54296875" style="8" bestFit="1" customWidth="1"/>
    <col min="4" max="4" width="33.1796875" style="8" bestFit="1" customWidth="1"/>
    <col min="5" max="5" width="22.1796875" bestFit="1" customWidth="1"/>
    <col min="6" max="6" width="37.54296875" style="8" customWidth="1"/>
    <col min="7" max="8" width="20.1796875" style="8" customWidth="1"/>
    <col min="9" max="9" width="17.1796875" style="8" hidden="1" customWidth="1"/>
    <col min="10" max="10" width="29.1796875" style="8" hidden="1" customWidth="1"/>
    <col min="11" max="11" width="5.453125" hidden="1" customWidth="1"/>
  </cols>
  <sheetData>
    <row r="1" spans="1:11" x14ac:dyDescent="0.35">
      <c r="B1" s="6" t="s">
        <v>2153</v>
      </c>
      <c r="C1" s="15"/>
    </row>
    <row r="3" spans="1:11" s="1" customFormat="1" ht="37" x14ac:dyDescent="0.45">
      <c r="A3" s="13" t="s">
        <v>1</v>
      </c>
      <c r="B3" s="13" t="s">
        <v>2</v>
      </c>
      <c r="C3" s="14" t="s">
        <v>451</v>
      </c>
      <c r="D3" s="14" t="s">
        <v>6</v>
      </c>
      <c r="E3" s="13" t="s">
        <v>452</v>
      </c>
      <c r="F3" s="14" t="s">
        <v>484</v>
      </c>
      <c r="G3" s="14" t="s">
        <v>567</v>
      </c>
      <c r="H3" s="14"/>
      <c r="I3" s="14" t="s">
        <v>11</v>
      </c>
      <c r="J3" s="14" t="s">
        <v>12</v>
      </c>
      <c r="K3" s="13" t="s">
        <v>13</v>
      </c>
    </row>
    <row r="4" spans="1:11" ht="43.5" x14ac:dyDescent="0.35">
      <c r="A4" s="9">
        <v>1</v>
      </c>
      <c r="B4" s="9" t="s">
        <v>1592</v>
      </c>
      <c r="C4" s="10" t="s">
        <v>589</v>
      </c>
      <c r="D4" s="10" t="s">
        <v>1593</v>
      </c>
      <c r="E4" s="11">
        <v>43504</v>
      </c>
      <c r="F4" s="10" t="s">
        <v>1594</v>
      </c>
      <c r="G4" s="10" t="s">
        <v>2154</v>
      </c>
      <c r="H4" s="10"/>
      <c r="I4" s="10"/>
      <c r="J4" s="10" t="s">
        <v>2155</v>
      </c>
      <c r="K4" s="10" t="s">
        <v>1584</v>
      </c>
    </row>
    <row r="5" spans="1:11" ht="29" x14ac:dyDescent="0.35">
      <c r="A5" s="9">
        <v>2</v>
      </c>
      <c r="B5" s="9" t="s">
        <v>1588</v>
      </c>
      <c r="C5" s="10" t="s">
        <v>1589</v>
      </c>
      <c r="D5" s="10" t="s">
        <v>1590</v>
      </c>
      <c r="E5" s="11">
        <v>43493</v>
      </c>
      <c r="F5" s="10" t="s">
        <v>1591</v>
      </c>
      <c r="G5" s="10" t="s">
        <v>2154</v>
      </c>
      <c r="H5" s="10"/>
      <c r="I5" s="10"/>
      <c r="J5" s="10" t="s">
        <v>2156</v>
      </c>
      <c r="K5" s="10" t="s">
        <v>461</v>
      </c>
    </row>
    <row r="6" spans="1:11" ht="29" x14ac:dyDescent="0.35">
      <c r="A6" s="25">
        <v>1</v>
      </c>
      <c r="B6" s="25" t="s">
        <v>1595</v>
      </c>
      <c r="C6" s="26" t="s">
        <v>1596</v>
      </c>
      <c r="D6" s="26" t="s">
        <v>1597</v>
      </c>
      <c r="E6" s="27" t="s">
        <v>1598</v>
      </c>
      <c r="F6" s="26" t="s">
        <v>1599</v>
      </c>
      <c r="G6" s="10" t="s">
        <v>2154</v>
      </c>
      <c r="H6" s="26" t="s">
        <v>2154</v>
      </c>
      <c r="I6" s="26"/>
      <c r="J6" s="26" t="s">
        <v>2157</v>
      </c>
      <c r="K6" s="26" t="s">
        <v>1584</v>
      </c>
    </row>
    <row r="7" spans="1:11" ht="29" x14ac:dyDescent="0.35">
      <c r="A7" s="25">
        <v>2</v>
      </c>
      <c r="B7" s="26" t="s">
        <v>1600</v>
      </c>
      <c r="C7" s="26" t="s">
        <v>1596</v>
      </c>
      <c r="D7" s="26" t="s">
        <v>1597</v>
      </c>
      <c r="E7" s="27" t="s">
        <v>1601</v>
      </c>
      <c r="F7" s="26" t="s">
        <v>1599</v>
      </c>
      <c r="G7" s="10" t="s">
        <v>2154</v>
      </c>
      <c r="H7" s="26" t="s">
        <v>2154</v>
      </c>
      <c r="I7" s="26"/>
      <c r="J7" s="26" t="s">
        <v>1599</v>
      </c>
      <c r="K7" s="26" t="s">
        <v>1584</v>
      </c>
    </row>
    <row r="8" spans="1:11" ht="29" x14ac:dyDescent="0.35">
      <c r="A8" s="9">
        <v>3</v>
      </c>
      <c r="B8" s="9" t="s">
        <v>1622</v>
      </c>
      <c r="C8" s="10" t="s">
        <v>1572</v>
      </c>
      <c r="D8" s="10" t="s">
        <v>487</v>
      </c>
      <c r="E8" s="11">
        <v>43579</v>
      </c>
      <c r="F8" s="10" t="s">
        <v>2158</v>
      </c>
      <c r="G8" s="10" t="s">
        <v>2159</v>
      </c>
      <c r="H8" s="10" t="s">
        <v>2154</v>
      </c>
      <c r="I8" s="10"/>
      <c r="J8" s="10" t="s">
        <v>2160</v>
      </c>
      <c r="K8" s="10" t="s">
        <v>1570</v>
      </c>
    </row>
    <row r="9" spans="1:11" ht="63" customHeight="1" x14ac:dyDescent="0.35">
      <c r="A9" s="9">
        <v>4</v>
      </c>
      <c r="B9" s="9" t="s">
        <v>506</v>
      </c>
      <c r="C9" s="10" t="s">
        <v>501</v>
      </c>
      <c r="D9" s="10" t="s">
        <v>507</v>
      </c>
      <c r="E9" s="11" t="s">
        <v>2161</v>
      </c>
      <c r="F9" s="10" t="s">
        <v>2162</v>
      </c>
      <c r="G9" s="10" t="s">
        <v>2154</v>
      </c>
      <c r="H9" s="10" t="s">
        <v>2154</v>
      </c>
      <c r="I9" s="10" t="s">
        <v>2163</v>
      </c>
      <c r="J9" s="10" t="s">
        <v>2164</v>
      </c>
      <c r="K9" s="10" t="s">
        <v>461</v>
      </c>
    </row>
    <row r="10" spans="1:11" ht="43.5" x14ac:dyDescent="0.35">
      <c r="A10" s="9">
        <v>5</v>
      </c>
      <c r="B10" s="9" t="s">
        <v>485</v>
      </c>
      <c r="C10" s="10" t="s">
        <v>486</v>
      </c>
      <c r="D10" s="10" t="s">
        <v>487</v>
      </c>
      <c r="E10" s="11">
        <v>43572</v>
      </c>
      <c r="F10" s="10" t="s">
        <v>2165</v>
      </c>
      <c r="G10" s="10" t="s">
        <v>2166</v>
      </c>
      <c r="H10" s="10" t="s">
        <v>2167</v>
      </c>
      <c r="I10" s="10"/>
      <c r="J10" s="10" t="s">
        <v>2168</v>
      </c>
      <c r="K10" s="10" t="s">
        <v>1570</v>
      </c>
    </row>
    <row r="11" spans="1:11" ht="43.5" x14ac:dyDescent="0.35">
      <c r="A11" s="9">
        <v>6</v>
      </c>
      <c r="B11" s="9" t="s">
        <v>500</v>
      </c>
      <c r="C11" s="10" t="s">
        <v>501</v>
      </c>
      <c r="D11" s="10" t="s">
        <v>373</v>
      </c>
      <c r="E11" s="11" t="s">
        <v>2169</v>
      </c>
      <c r="F11" s="10" t="s">
        <v>228</v>
      </c>
      <c r="G11" s="10" t="s">
        <v>2170</v>
      </c>
      <c r="H11" s="10" t="s">
        <v>2171</v>
      </c>
      <c r="I11" s="10"/>
      <c r="J11" s="10" t="s">
        <v>2172</v>
      </c>
      <c r="K11" s="10" t="s">
        <v>461</v>
      </c>
    </row>
    <row r="12" spans="1:11" ht="29" x14ac:dyDescent="0.35">
      <c r="A12" s="9">
        <v>7</v>
      </c>
      <c r="B12" s="9" t="s">
        <v>2173</v>
      </c>
      <c r="C12" s="10" t="s">
        <v>1589</v>
      </c>
      <c r="D12" s="10" t="s">
        <v>373</v>
      </c>
      <c r="E12" s="11" t="s">
        <v>590</v>
      </c>
      <c r="F12" s="10" t="s">
        <v>2174</v>
      </c>
      <c r="G12" s="10" t="s">
        <v>2175</v>
      </c>
      <c r="H12" s="10" t="s">
        <v>2176</v>
      </c>
      <c r="I12" s="10"/>
      <c r="J12" s="10" t="s">
        <v>2177</v>
      </c>
      <c r="K12" s="10" t="s">
        <v>461</v>
      </c>
    </row>
    <row r="13" spans="1:11" ht="29" x14ac:dyDescent="0.35">
      <c r="A13" s="9">
        <v>8</v>
      </c>
      <c r="B13" s="9" t="s">
        <v>1620</v>
      </c>
      <c r="C13" s="10" t="s">
        <v>2178</v>
      </c>
      <c r="D13" s="10" t="s">
        <v>373</v>
      </c>
      <c r="E13" s="11" t="s">
        <v>590</v>
      </c>
      <c r="F13" s="10" t="s">
        <v>2179</v>
      </c>
      <c r="G13" s="10" t="s">
        <v>2175</v>
      </c>
      <c r="H13" s="10"/>
      <c r="I13" s="10"/>
      <c r="J13" s="10" t="s">
        <v>2180</v>
      </c>
      <c r="K13" s="10" t="s">
        <v>1584</v>
      </c>
    </row>
    <row r="14" spans="1:11" s="3" customFormat="1" ht="29" x14ac:dyDescent="0.35">
      <c r="A14" s="23">
        <v>9</v>
      </c>
      <c r="B14" s="4" t="s">
        <v>1665</v>
      </c>
      <c r="C14" s="7" t="s">
        <v>536</v>
      </c>
      <c r="D14" s="10" t="s">
        <v>1603</v>
      </c>
      <c r="E14" s="5" t="s">
        <v>2169</v>
      </c>
      <c r="F14" s="10" t="s">
        <v>1599</v>
      </c>
      <c r="G14" s="10" t="s">
        <v>2175</v>
      </c>
      <c r="H14" s="7"/>
      <c r="I14" s="7"/>
      <c r="J14" s="7" t="s">
        <v>2181</v>
      </c>
      <c r="K14" s="4" t="s">
        <v>543</v>
      </c>
    </row>
    <row r="15" spans="1:11" x14ac:dyDescent="0.35">
      <c r="A15" s="9">
        <v>5</v>
      </c>
      <c r="B15" s="9" t="s">
        <v>494</v>
      </c>
      <c r="C15" s="10" t="s">
        <v>486</v>
      </c>
      <c r="D15" s="10" t="s">
        <v>373</v>
      </c>
      <c r="E15" s="11"/>
      <c r="F15" s="10" t="s">
        <v>2182</v>
      </c>
      <c r="G15" s="10"/>
      <c r="H15" s="10"/>
      <c r="I15" s="10" t="s">
        <v>497</v>
      </c>
      <c r="J15" s="10" t="s">
        <v>2183</v>
      </c>
      <c r="K15" s="10" t="s">
        <v>461</v>
      </c>
    </row>
    <row r="16" spans="1:11" x14ac:dyDescent="0.35">
      <c r="A16" s="9">
        <v>6</v>
      </c>
      <c r="B16" s="9" t="s">
        <v>2184</v>
      </c>
      <c r="C16" s="10" t="s">
        <v>1614</v>
      </c>
      <c r="D16" s="10" t="s">
        <v>1603</v>
      </c>
      <c r="E16" s="11" t="s">
        <v>2185</v>
      </c>
      <c r="F16" s="10" t="s">
        <v>2179</v>
      </c>
      <c r="G16" s="10"/>
      <c r="H16" s="10"/>
      <c r="I16" s="10" t="s">
        <v>2186</v>
      </c>
      <c r="J16" s="10" t="s">
        <v>2187</v>
      </c>
      <c r="K16" s="10" t="s">
        <v>1570</v>
      </c>
    </row>
    <row r="17" spans="1:11" ht="29" x14ac:dyDescent="0.35">
      <c r="A17" s="9">
        <v>7</v>
      </c>
      <c r="B17" s="9" t="s">
        <v>2188</v>
      </c>
      <c r="C17" s="10" t="s">
        <v>177</v>
      </c>
      <c r="D17" s="10" t="s">
        <v>584</v>
      </c>
      <c r="E17" s="11"/>
      <c r="F17" s="10" t="s">
        <v>2179</v>
      </c>
      <c r="G17" s="10"/>
      <c r="H17" s="10"/>
      <c r="I17" s="10"/>
      <c r="J17" s="10" t="s">
        <v>2189</v>
      </c>
      <c r="K17" s="10" t="s">
        <v>1584</v>
      </c>
    </row>
    <row r="18" spans="1:11" ht="43.5" x14ac:dyDescent="0.35">
      <c r="A18" s="9">
        <v>8</v>
      </c>
      <c r="B18" s="9" t="s">
        <v>2190</v>
      </c>
      <c r="C18" s="10" t="s">
        <v>589</v>
      </c>
      <c r="D18" s="10" t="s">
        <v>373</v>
      </c>
      <c r="E18" s="11" t="s">
        <v>590</v>
      </c>
      <c r="F18" s="10" t="s">
        <v>2179</v>
      </c>
      <c r="G18" s="10"/>
      <c r="H18" s="10"/>
      <c r="I18" s="10"/>
      <c r="J18" s="10" t="s">
        <v>2155</v>
      </c>
      <c r="K18" s="10" t="s">
        <v>1584</v>
      </c>
    </row>
    <row r="19" spans="1:11" ht="29" x14ac:dyDescent="0.35">
      <c r="A19" s="9">
        <v>11</v>
      </c>
      <c r="B19" s="9" t="s">
        <v>1682</v>
      </c>
      <c r="C19" s="10" t="s">
        <v>2191</v>
      </c>
      <c r="D19" s="10" t="s">
        <v>2192</v>
      </c>
      <c r="E19" s="11" t="s">
        <v>590</v>
      </c>
      <c r="F19" s="10" t="s">
        <v>2179</v>
      </c>
      <c r="G19" s="10"/>
      <c r="H19" s="10"/>
      <c r="I19" s="10"/>
      <c r="J19" s="10" t="s">
        <v>2193</v>
      </c>
      <c r="K19" s="10" t="s">
        <v>1584</v>
      </c>
    </row>
    <row r="20" spans="1:11" ht="43.5" x14ac:dyDescent="0.35">
      <c r="A20" s="9">
        <v>14</v>
      </c>
      <c r="B20" s="9" t="s">
        <v>1644</v>
      </c>
      <c r="C20" s="10" t="s">
        <v>1645</v>
      </c>
      <c r="D20" s="10" t="s">
        <v>373</v>
      </c>
      <c r="E20" s="11" t="s">
        <v>1646</v>
      </c>
      <c r="F20" s="10" t="s">
        <v>2194</v>
      </c>
      <c r="G20" s="10" t="s">
        <v>2195</v>
      </c>
      <c r="H20" s="10"/>
      <c r="I20" s="10"/>
      <c r="J20" s="10" t="s">
        <v>2196</v>
      </c>
      <c r="K20" s="10" t="s">
        <v>461</v>
      </c>
    </row>
    <row r="21" spans="1:11" ht="43.5" x14ac:dyDescent="0.35">
      <c r="A21" s="9">
        <v>10</v>
      </c>
      <c r="B21" s="9" t="s">
        <v>1625</v>
      </c>
      <c r="C21" s="10" t="s">
        <v>536</v>
      </c>
      <c r="D21" s="10" t="s">
        <v>1603</v>
      </c>
      <c r="E21" s="11" t="s">
        <v>1626</v>
      </c>
      <c r="F21" s="10" t="s">
        <v>2197</v>
      </c>
      <c r="G21" s="10" t="s">
        <v>2170</v>
      </c>
      <c r="H21" s="10"/>
      <c r="I21" s="10" t="s">
        <v>2198</v>
      </c>
      <c r="J21" s="10" t="s">
        <v>2199</v>
      </c>
      <c r="K21" s="10" t="s">
        <v>1584</v>
      </c>
    </row>
    <row r="22" spans="1:11" ht="28.5" customHeight="1" x14ac:dyDescent="0.35">
      <c r="A22" s="9">
        <v>16</v>
      </c>
      <c r="B22" s="9" t="s">
        <v>1641</v>
      </c>
      <c r="C22" s="10" t="s">
        <v>2200</v>
      </c>
      <c r="D22" s="10" t="s">
        <v>373</v>
      </c>
      <c r="E22" s="11" t="s">
        <v>1626</v>
      </c>
      <c r="F22" s="10" t="s">
        <v>1599</v>
      </c>
      <c r="G22" s="10" t="s">
        <v>2201</v>
      </c>
      <c r="H22" s="10"/>
      <c r="I22" s="10"/>
      <c r="J22" s="10" t="s">
        <v>2202</v>
      </c>
      <c r="K22" s="10" t="s">
        <v>543</v>
      </c>
    </row>
    <row r="23" spans="1:11" ht="32.25" customHeight="1" x14ac:dyDescent="0.35">
      <c r="A23" s="9">
        <v>17</v>
      </c>
      <c r="B23" s="9" t="s">
        <v>1605</v>
      </c>
      <c r="C23" s="10" t="s">
        <v>1581</v>
      </c>
      <c r="D23" s="10" t="s">
        <v>1603</v>
      </c>
      <c r="E23" s="11" t="s">
        <v>1601</v>
      </c>
      <c r="F23" s="10" t="s">
        <v>1599</v>
      </c>
      <c r="G23" s="10"/>
      <c r="H23" s="10"/>
      <c r="I23" s="10"/>
      <c r="J23" s="10" t="s">
        <v>2203</v>
      </c>
      <c r="K23" s="10" t="s">
        <v>1584</v>
      </c>
    </row>
    <row r="24" spans="1:11" ht="32.25" customHeight="1" x14ac:dyDescent="0.35">
      <c r="A24" s="9"/>
      <c r="B24" s="9" t="s">
        <v>1605</v>
      </c>
      <c r="C24" s="10" t="s">
        <v>1617</v>
      </c>
      <c r="D24" s="10" t="s">
        <v>1603</v>
      </c>
      <c r="E24" s="11"/>
      <c r="F24" s="10" t="s">
        <v>1599</v>
      </c>
      <c r="G24" s="10"/>
      <c r="H24" s="10"/>
      <c r="I24" s="10"/>
      <c r="J24" s="10" t="s">
        <v>2203</v>
      </c>
      <c r="K24" s="10" t="s">
        <v>1584</v>
      </c>
    </row>
    <row r="25" spans="1:11" x14ac:dyDescent="0.35">
      <c r="A25" s="9">
        <v>18</v>
      </c>
      <c r="B25" s="9" t="s">
        <v>1609</v>
      </c>
      <c r="C25" s="10" t="s">
        <v>1596</v>
      </c>
      <c r="D25" s="10" t="s">
        <v>1597</v>
      </c>
      <c r="E25" s="11" t="s">
        <v>1601</v>
      </c>
      <c r="F25" s="10" t="s">
        <v>1599</v>
      </c>
      <c r="G25" s="10"/>
      <c r="H25" s="10"/>
      <c r="I25" s="10"/>
      <c r="J25" s="10" t="s">
        <v>2204</v>
      </c>
      <c r="K25" s="10" t="s">
        <v>1584</v>
      </c>
    </row>
    <row r="26" spans="1:11" ht="43.5" x14ac:dyDescent="0.35">
      <c r="A26" s="9">
        <v>21</v>
      </c>
      <c r="B26" s="9" t="s">
        <v>1649</v>
      </c>
      <c r="C26" s="10" t="s">
        <v>456</v>
      </c>
      <c r="D26" s="10" t="s">
        <v>373</v>
      </c>
      <c r="E26" s="11" t="s">
        <v>1598</v>
      </c>
      <c r="F26" s="10" t="s">
        <v>1599</v>
      </c>
      <c r="G26" s="10" t="s">
        <v>2205</v>
      </c>
      <c r="H26" s="10"/>
      <c r="I26" s="10"/>
      <c r="J26" s="10" t="s">
        <v>460</v>
      </c>
      <c r="K26" s="10" t="s">
        <v>543</v>
      </c>
    </row>
    <row r="27" spans="1:11" ht="54" customHeight="1" x14ac:dyDescent="0.35">
      <c r="A27" s="9">
        <v>22</v>
      </c>
      <c r="B27" s="9" t="s">
        <v>1693</v>
      </c>
      <c r="C27" s="10" t="s">
        <v>456</v>
      </c>
      <c r="D27" s="10" t="s">
        <v>373</v>
      </c>
      <c r="E27" s="11" t="s">
        <v>1598</v>
      </c>
      <c r="F27" s="10" t="s">
        <v>1599</v>
      </c>
      <c r="G27" s="10" t="s">
        <v>2205</v>
      </c>
      <c r="H27" s="10" t="s">
        <v>2206</v>
      </c>
      <c r="I27" s="10"/>
      <c r="J27" s="10" t="s">
        <v>460</v>
      </c>
      <c r="K27" s="10" t="s">
        <v>543</v>
      </c>
    </row>
    <row r="28" spans="1:11" x14ac:dyDescent="0.35">
      <c r="A28" s="9">
        <v>23</v>
      </c>
      <c r="B28" s="9" t="s">
        <v>454</v>
      </c>
      <c r="C28" s="10" t="s">
        <v>456</v>
      </c>
      <c r="D28" s="10" t="s">
        <v>373</v>
      </c>
      <c r="E28" s="11" t="s">
        <v>1598</v>
      </c>
      <c r="F28" s="10" t="s">
        <v>1599</v>
      </c>
      <c r="G28" s="10"/>
      <c r="H28" s="10"/>
      <c r="I28" s="10"/>
      <c r="J28" s="10" t="s">
        <v>460</v>
      </c>
      <c r="K28" s="10" t="s">
        <v>543</v>
      </c>
    </row>
    <row r="29" spans="1:11" x14ac:dyDescent="0.35">
      <c r="A29" s="9">
        <v>24</v>
      </c>
      <c r="B29" s="9" t="s">
        <v>463</v>
      </c>
      <c r="C29" s="10" t="s">
        <v>456</v>
      </c>
      <c r="D29" s="10" t="s">
        <v>373</v>
      </c>
      <c r="E29" s="11" t="s">
        <v>1598</v>
      </c>
      <c r="F29" s="10" t="s">
        <v>1599</v>
      </c>
      <c r="G29" s="10"/>
      <c r="H29" s="10"/>
      <c r="I29" s="10"/>
      <c r="J29" s="10" t="s">
        <v>460</v>
      </c>
      <c r="K29" s="10" t="s">
        <v>543</v>
      </c>
    </row>
    <row r="30" spans="1:11" ht="29" x14ac:dyDescent="0.35">
      <c r="A30" s="9">
        <v>25</v>
      </c>
      <c r="B30" s="9" t="s">
        <v>1602</v>
      </c>
      <c r="C30" s="10" t="s">
        <v>536</v>
      </c>
      <c r="D30" s="10" t="s">
        <v>1603</v>
      </c>
      <c r="E30" s="11" t="s">
        <v>1604</v>
      </c>
      <c r="F30" s="10" t="s">
        <v>1599</v>
      </c>
      <c r="G30" s="10"/>
      <c r="H30" s="10"/>
      <c r="I30" s="10"/>
      <c r="J30" s="10" t="s">
        <v>2207</v>
      </c>
      <c r="K30" s="10" t="s">
        <v>1570</v>
      </c>
    </row>
    <row r="31" spans="1:11" s="16" customFormat="1" ht="30.75" customHeight="1" x14ac:dyDescent="0.35">
      <c r="A31" s="9">
        <v>26</v>
      </c>
      <c r="B31" s="9" t="s">
        <v>568</v>
      </c>
      <c r="C31" s="10" t="s">
        <v>569</v>
      </c>
      <c r="D31" s="10" t="s">
        <v>570</v>
      </c>
      <c r="E31" s="11" t="s">
        <v>571</v>
      </c>
      <c r="F31" s="10" t="s">
        <v>1599</v>
      </c>
      <c r="G31" s="10"/>
      <c r="H31" s="10"/>
      <c r="I31" s="10" t="s">
        <v>2208</v>
      </c>
      <c r="J31" s="10" t="s">
        <v>460</v>
      </c>
      <c r="K31" s="10" t="s">
        <v>543</v>
      </c>
    </row>
    <row r="32" spans="1:11" ht="29" x14ac:dyDescent="0.35">
      <c r="A32" s="9">
        <v>27</v>
      </c>
      <c r="B32" s="4" t="s">
        <v>574</v>
      </c>
      <c r="C32" s="10" t="s">
        <v>569</v>
      </c>
      <c r="D32" s="10" t="s">
        <v>373</v>
      </c>
      <c r="E32" s="5" t="s">
        <v>571</v>
      </c>
      <c r="F32" s="10" t="s">
        <v>1599</v>
      </c>
      <c r="G32" s="7" t="s">
        <v>576</v>
      </c>
      <c r="H32" s="7"/>
      <c r="I32" s="7"/>
      <c r="J32" s="10" t="s">
        <v>460</v>
      </c>
      <c r="K32" s="10" t="s">
        <v>543</v>
      </c>
    </row>
    <row r="33" spans="1:14" x14ac:dyDescent="0.35">
      <c r="A33" s="9">
        <v>28</v>
      </c>
      <c r="B33" s="9" t="s">
        <v>1623</v>
      </c>
      <c r="C33" s="10" t="s">
        <v>648</v>
      </c>
      <c r="D33" s="10" t="s">
        <v>373</v>
      </c>
      <c r="E33" s="5" t="s">
        <v>2209</v>
      </c>
      <c r="F33" s="10" t="s">
        <v>1599</v>
      </c>
      <c r="G33" s="7"/>
      <c r="H33" s="7"/>
      <c r="I33" s="7"/>
      <c r="J33" s="7" t="s">
        <v>1599</v>
      </c>
      <c r="K33" s="10" t="s">
        <v>543</v>
      </c>
    </row>
    <row r="34" spans="1:14" x14ac:dyDescent="0.35">
      <c r="A34" s="9">
        <v>29</v>
      </c>
      <c r="B34" s="9" t="s">
        <v>2210</v>
      </c>
      <c r="C34" s="10" t="s">
        <v>648</v>
      </c>
      <c r="D34" s="10" t="s">
        <v>373</v>
      </c>
      <c r="E34" s="5" t="s">
        <v>2209</v>
      </c>
      <c r="F34" s="10" t="s">
        <v>1599</v>
      </c>
      <c r="G34" s="7"/>
      <c r="H34" s="7"/>
      <c r="I34" s="7"/>
      <c r="J34" s="7" t="s">
        <v>1599</v>
      </c>
      <c r="K34" s="10" t="s">
        <v>1584</v>
      </c>
    </row>
    <row r="35" spans="1:14" x14ac:dyDescent="0.35">
      <c r="A35" s="23">
        <v>30</v>
      </c>
      <c r="B35" s="4" t="s">
        <v>1670</v>
      </c>
      <c r="C35" s="10" t="s">
        <v>1671</v>
      </c>
      <c r="D35" s="10" t="s">
        <v>373</v>
      </c>
      <c r="E35" s="5" t="s">
        <v>2161</v>
      </c>
      <c r="F35" s="10" t="s">
        <v>1599</v>
      </c>
      <c r="G35" s="7"/>
      <c r="H35" s="7"/>
      <c r="I35" s="7"/>
      <c r="J35" s="7" t="s">
        <v>1599</v>
      </c>
      <c r="K35" s="10" t="s">
        <v>1584</v>
      </c>
    </row>
    <row r="36" spans="1:14" s="21" customFormat="1" ht="29" x14ac:dyDescent="0.35">
      <c r="A36" s="17">
        <v>31</v>
      </c>
      <c r="B36" s="17" t="s">
        <v>1629</v>
      </c>
      <c r="C36" s="19" t="s">
        <v>599</v>
      </c>
      <c r="D36" s="18" t="s">
        <v>373</v>
      </c>
      <c r="E36" s="20" t="s">
        <v>2211</v>
      </c>
      <c r="F36" s="18" t="s">
        <v>1599</v>
      </c>
      <c r="G36" s="18" t="s">
        <v>2212</v>
      </c>
      <c r="H36" s="18"/>
      <c r="I36" s="19"/>
      <c r="J36" s="18" t="s">
        <v>1599</v>
      </c>
      <c r="K36" s="18" t="s">
        <v>461</v>
      </c>
      <c r="L36" s="47"/>
      <c r="M36" s="47"/>
      <c r="N36" s="47"/>
    </row>
    <row r="37" spans="1:14" s="3" customFormat="1" ht="29" x14ac:dyDescent="0.35">
      <c r="A37" s="23">
        <v>33</v>
      </c>
      <c r="B37" s="4" t="s">
        <v>2213</v>
      </c>
      <c r="C37" s="7" t="s">
        <v>177</v>
      </c>
      <c r="D37" s="10" t="s">
        <v>1603</v>
      </c>
      <c r="E37" s="5" t="s">
        <v>1626</v>
      </c>
      <c r="F37" s="10" t="s">
        <v>1599</v>
      </c>
      <c r="G37" s="7" t="s">
        <v>2214</v>
      </c>
      <c r="H37" s="7"/>
      <c r="I37" s="7"/>
      <c r="J37" s="7" t="s">
        <v>2181</v>
      </c>
      <c r="K37" s="4" t="s">
        <v>1584</v>
      </c>
    </row>
    <row r="38" spans="1:14" s="3" customFormat="1" ht="29" x14ac:dyDescent="0.35">
      <c r="A38" s="23">
        <v>34</v>
      </c>
      <c r="B38" s="4" t="s">
        <v>2213</v>
      </c>
      <c r="C38" s="7" t="s">
        <v>1581</v>
      </c>
      <c r="D38" s="10" t="s">
        <v>1603</v>
      </c>
      <c r="E38" s="5" t="s">
        <v>1626</v>
      </c>
      <c r="F38" s="10" t="s">
        <v>1599</v>
      </c>
      <c r="G38" s="7" t="s">
        <v>2214</v>
      </c>
      <c r="H38" s="7"/>
      <c r="I38" s="7"/>
      <c r="J38" s="7" t="s">
        <v>2181</v>
      </c>
      <c r="K38" s="4" t="s">
        <v>1584</v>
      </c>
    </row>
    <row r="39" spans="1:14" s="3" customFormat="1" x14ac:dyDescent="0.35">
      <c r="A39" s="23">
        <v>35</v>
      </c>
      <c r="B39" s="12" t="s">
        <v>2215</v>
      </c>
      <c r="C39" s="7" t="s">
        <v>2216</v>
      </c>
      <c r="D39" s="10" t="s">
        <v>373</v>
      </c>
      <c r="E39" s="5" t="s">
        <v>2217</v>
      </c>
      <c r="F39" s="10" t="s">
        <v>1599</v>
      </c>
      <c r="G39" s="24"/>
      <c r="H39" s="24"/>
      <c r="I39" s="7"/>
      <c r="J39" s="7" t="s">
        <v>2181</v>
      </c>
      <c r="K39" s="4" t="s">
        <v>1584</v>
      </c>
    </row>
    <row r="40" spans="1:14" x14ac:dyDescent="0.35">
      <c r="E40" s="2"/>
    </row>
    <row r="41" spans="1:14" x14ac:dyDescent="0.35">
      <c r="E41" s="2"/>
    </row>
    <row r="42" spans="1:14" x14ac:dyDescent="0.35">
      <c r="E42" s="2"/>
    </row>
    <row r="43" spans="1:14" x14ac:dyDescent="0.35">
      <c r="E43" s="2"/>
    </row>
    <row r="44" spans="1:14" x14ac:dyDescent="0.35">
      <c r="E44" s="2"/>
    </row>
    <row r="45" spans="1:14" x14ac:dyDescent="0.35">
      <c r="E45" s="2"/>
    </row>
    <row r="46" spans="1:14" x14ac:dyDescent="0.35">
      <c r="E46" s="2"/>
    </row>
    <row r="47" spans="1:14" x14ac:dyDescent="0.35">
      <c r="E47" s="2"/>
    </row>
    <row r="48" spans="1:14" x14ac:dyDescent="0.35">
      <c r="E48" s="2"/>
    </row>
    <row r="49" spans="5:5" x14ac:dyDescent="0.35">
      <c r="E49" s="2"/>
    </row>
    <row r="50" spans="5:5" x14ac:dyDescent="0.35">
      <c r="E5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Prospek 2026</vt:lpstr>
      <vt:lpstr>Prospek 2025</vt:lpstr>
      <vt:lpstr>Progress 2024</vt:lpstr>
      <vt:lpstr>Progress 2023</vt:lpstr>
      <vt:lpstr>Progress 2022</vt:lpstr>
      <vt:lpstr>Progres 2021</vt:lpstr>
      <vt:lpstr>Progress 2020</vt:lpstr>
      <vt:lpstr>Next Project</vt:lpstr>
      <vt:lpstr>Loss</vt:lpstr>
      <vt:lpstr>LATEST LOSS</vt:lpstr>
      <vt:lpstr>Done 2019 - 2025</vt:lpstr>
      <vt:lpstr>Sheet2</vt:lpstr>
      <vt:lpstr>SKYPE</vt:lpstr>
      <vt:lpstr>'Done 2019 - 2025'!Print_Area</vt:lpstr>
      <vt:lpstr>Loss!Print_Area</vt:lpstr>
      <vt:lpstr>'Next Project'!Print_Area</vt:lpstr>
      <vt:lpstr>'Progres 2021'!Print_Area</vt:lpstr>
      <vt:lpstr>'Progress 2020'!Print_Area</vt:lpstr>
      <vt:lpstr>'Prospek 2025'!Print_Area</vt:lpstr>
      <vt:lpstr>'Prospek 2026'!Print_Area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Hendro Buditjahjono</cp:lastModifiedBy>
  <cp:revision/>
  <dcterms:created xsi:type="dcterms:W3CDTF">2019-01-21T02:08:37Z</dcterms:created>
  <dcterms:modified xsi:type="dcterms:W3CDTF">2026-01-05T02:22:31Z</dcterms:modified>
  <cp:category/>
  <cp:contentStatus/>
</cp:coreProperties>
</file>